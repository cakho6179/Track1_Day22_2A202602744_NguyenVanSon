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"/>
    <numFmt numFmtId="166" formatCode="$#,##0.0000"/>
    <numFmt numFmtId="167" formatCode="0.0000"/>
    <numFmt numFmtId="168" formatCode="$#,##0.00"/>
    <numFmt numFmtId="169" formatCode="#,##0&quot; ₫&quot;"/>
    <numFmt numFmtId="170" formatCode="0.0&quot;×&quot;"/>
    <numFmt numFmtId="171" formatCode="0.00&quot;×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</font>
    <font>
      <color rgb="00404040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169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1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168" fontId="0" fillId="5" borderId="1" applyAlignment="1" pivotButton="0" quotePrefix="0" xfId="0">
      <alignment vertical="top" wrapText="1"/>
    </xf>
    <xf numFmtId="169" fontId="0" fillId="5" borderId="1" applyAlignment="1" pivotButton="0" quotePrefix="0" xfId="0">
      <alignment vertical="top" wrapText="1"/>
    </xf>
    <xf numFmtId="169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164" fontId="0" fillId="3" borderId="0" pivotButton="0" quotePrefix="0" xfId="0"/>
    <xf numFmtId="165" fontId="0" fillId="5" borderId="0" pivotButton="0" quotePrefix="0" xfId="0"/>
    <xf numFmtId="169" fontId="0" fillId="5" borderId="0" pivotButton="0" quotePrefix="0" xfId="0"/>
    <xf numFmtId="164" fontId="0" fillId="5" borderId="0" applyAlignment="1" pivotButton="0" quotePrefix="0" xfId="0">
      <alignment horizontal="left"/>
    </xf>
    <xf numFmtId="0" fontId="0" fillId="3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3" borderId="1" pivotButton="0" quotePrefix="0" xfId="0"/>
    <xf numFmtId="1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170" fontId="0" fillId="5" borderId="1" applyAlignment="1" pivotButton="0" quotePrefix="0" xfId="0">
      <alignment vertical="top" wrapText="1"/>
    </xf>
    <xf numFmtId="171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4" customWidth="1" min="4" max="4"/>
    <col width="70" customWidth="1" min="5" max="5"/>
  </cols>
  <sheetData>
    <row r="1">
      <c r="A1" s="1" t="inlineStr">
        <is>
          <t>DAY 22 • MONETIZATION &amp; GTM — SÀNG LỌC CV BẰNG AI (SME VIỆT NAM)</t>
        </is>
      </c>
      <c r="B1" s="2" t="n"/>
      <c r="C1" s="2" t="n"/>
      <c r="D1" s="2" t="n"/>
      <c r="E1" s="2" t="n"/>
    </row>
    <row r="2">
      <c r="A2" s="3" t="inlineStr">
        <is>
          <t>Ô VÀNG = giả định do người làm bài nhập · Ô XÁM = công thức, không sửa · Xanh = đạt ngưỡng · Đỏ = chưa đạt</t>
        </is>
      </c>
    </row>
    <row r="4">
      <c r="A4" s="4" t="inlineStr">
        <is>
          <t>Sản phẩm (tên tạm)</t>
        </is>
      </c>
      <c r="B4" s="5" t="inlineStr">
        <is>
          <t>SàngCV — AI sàng lọc CV &amp; lập shortlist có dẫn chứng</t>
        </is>
      </c>
      <c r="C4" t="inlineStr"/>
      <c r="E4" s="6" t="inlineStr">
        <is>
          <t>Sản phẩm giả định của người làm bài; chưa có khách hàng hay prototype được đo.</t>
        </is>
      </c>
    </row>
    <row r="5">
      <c r="A5" s="4" t="inlineStr">
        <is>
          <t>Người thực hiện</t>
        </is>
      </c>
      <c r="B5" s="5" t="inlineStr">
        <is>
          <t>Nguyễn Văn Sơn — 2A202602744</t>
        </is>
      </c>
      <c r="C5" t="inlineStr"/>
      <c r="E5" s="6" t="inlineStr"/>
    </row>
    <row r="6" ht="30" customHeight="1">
      <c r="A6" s="4" t="inlineStr">
        <is>
          <t>Ngày chốt giá &amp; số liệu</t>
        </is>
      </c>
      <c r="B6" s="5" t="inlineStr">
        <is>
          <t>08/10/2026</t>
        </is>
      </c>
      <c r="C6" t="inlineStr"/>
      <c r="E6" s="6" t="inlineStr">
        <is>
          <t>Giá Gemini/Workable/Manatal/Fin được kiểm tra trực tiếp trên trang gốc ngày này (xem 6_Benchmarks).</t>
        </is>
      </c>
    </row>
    <row r="7">
      <c r="A7" s="4" t="inlineStr">
        <is>
          <t>Tỷ giá giả định</t>
        </is>
      </c>
      <c r="B7" s="7" t="n">
        <v>26000</v>
      </c>
      <c r="C7" t="inlineStr">
        <is>
          <t>VND/USD</t>
        </is>
      </c>
      <c r="E7" s="6" t="inlineStr">
        <is>
          <t>Giả định làm tròn; cập nhật theo tỷ giá thực trước khi dùng số này với nhà đầu tư.</t>
        </is>
      </c>
    </row>
    <row r="8" ht="30" customHeight="1">
      <c r="A8" s="4" t="inlineStr">
        <is>
          <t>Template gốc</t>
        </is>
      </c>
      <c r="B8" s="5" t="inlineStr">
        <is>
          <t>Không có</t>
        </is>
      </c>
      <c r="C8" t="inlineStr"/>
      <c r="E8" s="6" t="inlineStr">
        <is>
          <t>File day22_monetization_model.xlsx và template .docx KHÔNG được cung cấp. File này dựng lại đúng 7 tab theo HUONG_DAN_LAB.md; bố cục ô không phải bản chính thức.</t>
        </is>
      </c>
    </row>
    <row r="10">
      <c r="A10" s="8" t="inlineStr">
        <is>
          <t>5 CON SỐ BẮT BUỘC (liên kết tới công thức)</t>
        </is>
      </c>
      <c r="B10" s="9" t="n"/>
      <c r="C10" s="9" t="n"/>
      <c r="D10" s="9" t="n"/>
      <c r="E10" s="9" t="n"/>
    </row>
    <row r="11">
      <c r="A11" t="inlineStr">
        <is>
          <t>Cost/Job — COGS (₫)</t>
        </is>
      </c>
      <c r="B11" s="10">
        <f>'1_Cost_Job'!$B$94</f>
        <v/>
      </c>
    </row>
    <row r="12">
      <c r="A12" t="inlineStr">
        <is>
          <t>Cost/Job — đầy đủ 5 thành phần (₫)</t>
        </is>
      </c>
      <c r="B12" s="10">
        <f>'1_Cost_Job'!$B$95</f>
        <v/>
      </c>
    </row>
    <row r="13">
      <c r="A13" t="inlineStr">
        <is>
          <t>Giá sàn = 3 × COGS/job (₫)</t>
        </is>
      </c>
      <c r="B13" s="10">
        <f>'2_Pricing'!$B$22</f>
        <v/>
      </c>
    </row>
    <row r="14">
      <c r="A14" t="inlineStr">
        <is>
          <t>Giá bán: phí/shortlist (₫)</t>
        </is>
      </c>
      <c r="B14" s="10">
        <f>'2_Pricing'!$B$6</f>
        <v/>
      </c>
    </row>
    <row r="15">
      <c r="A15" t="inlineStr">
        <is>
          <t>Gross Margin (COGS) — mục tiêu ≥60%</t>
        </is>
      </c>
      <c r="B15" s="11">
        <f>'2_Pricing'!$B$15</f>
        <v/>
      </c>
    </row>
    <row r="16">
      <c r="A16" t="inlineStr">
        <is>
          <t>Margin đầy tải</t>
        </is>
      </c>
      <c r="B16" s="11">
        <f>'2_Pricing'!$B$16</f>
        <v/>
      </c>
    </row>
    <row r="17">
      <c r="A17" t="inlineStr">
        <is>
          <t>Breakeven containment (GM 60%)</t>
        </is>
      </c>
      <c r="B17" s="11">
        <f>'2_Pricing'!$B$39</f>
        <v/>
      </c>
    </row>
    <row r="18">
      <c r="A18" t="inlineStr">
        <is>
          <t>Containment giả định (chưa đo)</t>
        </is>
      </c>
      <c r="B18" s="11">
        <f>'1_Cost_Job'!$B$15</f>
        <v/>
      </c>
    </row>
    <row r="19">
      <c r="A19" t="inlineStr">
        <is>
          <t>Kênh đã chốt</t>
        </is>
      </c>
      <c r="B19" s="12">
        <f>'4_Channel_Fit'!$B$40</f>
        <v/>
      </c>
    </row>
    <row r="20">
      <c r="A20" s="8" t="inlineStr">
        <is>
          <t>THỨ TỰ LÀM</t>
        </is>
      </c>
      <c r="B20" s="9" t="n"/>
      <c r="C20" s="9" t="n"/>
      <c r="D20" s="9" t="n"/>
      <c r="E20" s="9" t="n"/>
    </row>
    <row r="21" ht="30" customHeight="1">
      <c r="A21" s="4" t="inlineStr">
        <is>
          <t>• 1_Cost_Job → 2_Pricing → 3_Value_Metric → 4_Channel_Fit → 5_90Day_Plan → 6_Benchmarks (ghi ngày kiểm giá).</t>
        </is>
      </c>
    </row>
    <row r="22" ht="30" customHeight="1">
      <c r="A22" s="4" t="inlineStr">
        <is>
          <t>• Trạng thái trung thực: GM theo COGS đạt, nhưng margin đầy tải còn mỏng và CHƯA có eval/pilot thật — xem 'Điểm chưa đạt' ở 5_90Day_Plan.</t>
        </is>
      </c>
    </row>
    <row r="23" ht="30" customHeight="1">
      <c r="A23" s="4" t="inlineStr">
        <is>
          <t>• Mọi con số trong One-Pager truy được về một ô trong file này.</t>
        </is>
      </c>
    </row>
  </sheetData>
  <mergeCells count="3">
    <mergeCell ref="A21:E21"/>
    <mergeCell ref="A22:E22"/>
    <mergeCell ref="A23:E23"/>
  </mergeCells>
  <conditionalFormatting sqref="B15">
    <cfRule type="cellIs" priority="1" operator="greaterThanOrEqual" dxfId="0">
      <formula>0.6</formula>
    </cfRule>
    <cfRule type="cellIs" priority="2" operator="lessThan" dxfId="1">
      <formula>0.6</formula>
    </cfRule>
  </conditionalFormatting>
  <conditionalFormatting sqref="B16">
    <cfRule type="cellIs" priority="3" operator="lessThan" dxfId="1">
      <formula>0.6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4" customWidth="1" min="4" max="4"/>
    <col width="70" customWidth="1" min="5" max="5"/>
  </cols>
  <sheetData>
    <row r="1">
      <c r="A1" s="1" t="inlineStr">
        <is>
          <t>1 • COST / COMPLETED JOB (5 thành phần)</t>
        </is>
      </c>
      <c r="B1" s="2" t="n"/>
      <c r="C1" s="2" t="n"/>
      <c r="D1" s="2" t="n"/>
      <c r="E1" s="2" t="n"/>
    </row>
    <row r="2">
      <c r="A2" s="3" t="inlineStr">
        <is>
          <t>Cost/Job = (API + Infra + HITL + Retry + Overhead) / số job HOÀN THÀNH. Tính bằng USD, đổi sang ₫ ở cuối tab.</t>
        </is>
      </c>
    </row>
    <row r="4">
      <c r="A4" s="8" t="inlineStr">
        <is>
          <t>S1 · ĐỊNH NGHĨA 1 JOB</t>
        </is>
      </c>
      <c r="B4" s="9" t="n"/>
      <c r="C4" s="9" t="n"/>
      <c r="D4" s="9" t="n"/>
      <c r="E4" s="9" t="n"/>
    </row>
    <row r="5" ht="80" customHeight="1">
      <c r="A5" s="4" t="inlineStr">
        <is>
          <t>Job</t>
        </is>
      </c>
      <c r="B5" s="5" t="inlineStr">
        <is>
          <t>1 SHORTLIST HOÀN TẤT cho 1 vị trí tuyển dụng (requisition): AI xử lý toàn bộ CV nhận được, chấm theo rubric từ JD, trả top-N ứng viên kèm trích dẫn nguyên văn từ CV cho từng tiêu chí; recruiter đã xác nhận.</t>
        </is>
      </c>
      <c r="E5" s="6" t="inlineStr">
        <is>
          <t>Không phải '1 lần gọi API' hay '1 CV'. Khách coi shortlist là giá trị; đếm được tự động qua status.</t>
        </is>
      </c>
    </row>
    <row r="6" ht="80" customHeight="1">
      <c r="A6" s="4" t="inlineStr">
        <is>
          <t>Điều kiện tính tiền (status = SHORTLIST_ACCEPTED)</t>
        </is>
      </c>
      <c r="B6" s="5" t="inlineStr">
        <is>
          <t>(1) ≥90% CV của requisition parse+chấm xong; (2) mỗi ứng viên top-N có ≥1 trích dẫn kiểm tra khớp CV cho mỗi tiêu chí; (3) recruiter bấm 'Chốt shortlist', hoặc xuất danh sách, hoặc mở ≥3 hồ sơ top trong 14 ngày.</t>
        </is>
      </c>
      <c r="E6" s="6" t="inlineStr">
        <is>
          <t>Chặt như định nghĩa 'resolution' của Intercom Fin: 'No further help is requested after Fin's last answer'.</t>
        </is>
      </c>
    </row>
    <row r="7" ht="60" customHeight="1">
      <c r="A7" s="4" t="inlineStr">
        <is>
          <t>KHÔNG tính tiền</t>
        </is>
      </c>
      <c r="B7" s="5" t="inlineStr">
        <is>
          <t>Requisition bị hủy; shortlist bị recruiter gắn cờ 'sai'; hết 14 ngày không có tương tác nào. AI không bao giờ tự loại ứng viên: quyết định loại/tuyển luôn do người.</t>
        </is>
      </c>
      <c r="E7" s="6" t="inlineStr">
        <is>
          <t>Rủi ro thiên lệch trong tuyển dụng đã phân tích ở Lab 21 → bắt buộc human-in-the-loop ở quyết định cuối.</t>
        </is>
      </c>
    </row>
    <row r="8" ht="45" customHeight="1">
      <c r="A8" s="4" t="inlineStr">
        <is>
          <t>Ngân sách của khách</t>
        </is>
      </c>
      <c r="B8" s="5" t="inlineStr">
        <is>
          <t>Ngân sách NHÂN SỰ/VẬN HÀNH tuyển dụng (thay phần việc sàng lọc sơ loại của HR executive/thực tập sinh) — không phải ngân sách phần mềm.</t>
        </is>
      </c>
      <c r="E8" s="6" t="inlineStr">
        <is>
          <t>Người ký: HR manager hoặc chủ doanh nghiệp SME 50–300 nhân sự.</t>
        </is>
      </c>
    </row>
    <row r="9" ht="60" customHeight="1">
      <c r="A9" s="4" t="inlineStr">
        <is>
          <t>Biến thể HITL</t>
        </is>
      </c>
      <c r="B9" s="5" t="inlineStr">
        <is>
          <t>A – Bán phần mềm: recruiter của khách tự xử lý ca AI không chắc/parse lỗi. Vendor chỉ chịu chi phí QA/kiểm toán thiên lệch theo mẫu (tính vào COGS).</t>
        </is>
      </c>
      <c r="E9" s="6" t="inlineStr">
        <is>
          <t>Nếu chuyển sang bán kết quả (Biến thể B), mọi ca escalate thuộc COGS của vendor → Cost/Job cao hơn nhiều lần.</t>
        </is>
      </c>
    </row>
    <row r="11">
      <c r="A11" s="8" t="inlineStr">
        <is>
          <t>S2 · VOLUME (kịch bản mục tiêu cuối tháng 3)</t>
        </is>
      </c>
      <c r="B11" s="9" t="n"/>
      <c r="C11" s="9" t="n"/>
      <c r="D11" s="9" t="n"/>
      <c r="E11" s="9" t="n"/>
    </row>
    <row r="12" ht="30" customHeight="1">
      <c r="A12" s="4" t="inlineStr">
        <is>
          <t>Số khách trả tiền</t>
        </is>
      </c>
      <c r="B12" s="13" t="n">
        <v>8</v>
      </c>
      <c r="C12" t="inlineStr">
        <is>
          <t>khách</t>
        </is>
      </c>
      <c r="E12" s="6" t="inlineStr">
        <is>
          <t>Mục tiêu tháng 3 (5_90Day_Plan). GIẢ ĐỊNH — hiện 0 khách. Bảng ở 2_Pricing cho kết quả ở 3/5/8/12/20 khách.</t>
        </is>
      </c>
    </row>
    <row r="13">
      <c r="A13" s="4" t="inlineStr">
        <is>
          <t>Requisition bắt đầu / khách / tháng</t>
        </is>
      </c>
      <c r="B13" s="13" t="n">
        <v>4</v>
      </c>
      <c r="C13" t="inlineStr">
        <is>
          <t>req</t>
        </is>
      </c>
      <c r="E13" s="6" t="inlineStr">
        <is>
          <t>SME 100–300 nhân sự, tuyển 3–5 vị trí/tháng. Cần xác minh qua phỏng vấn tháng 1.</t>
        </is>
      </c>
    </row>
    <row r="14" ht="30" customHeight="1">
      <c r="A14" s="4" t="inlineStr">
        <is>
          <t>Số CV trung bình / requisition</t>
        </is>
      </c>
      <c r="B14" s="13" t="n">
        <v>300</v>
      </c>
      <c r="C14" t="inlineStr">
        <is>
          <t>CV</t>
        </is>
      </c>
      <c r="E14" s="6" t="inlineStr">
        <is>
          <t>Giả định; vị trí văn phòng đăng job board thường nhận vài trăm hồ sơ. Đo thật trong pilot.</t>
        </is>
      </c>
    </row>
    <row r="15" ht="30" customHeight="1">
      <c r="A15" s="4" t="inlineStr">
        <is>
          <t>Tỷ lệ hoàn thành (containment)</t>
        </is>
      </c>
      <c r="B15" s="14" t="n">
        <v>0.8</v>
      </c>
      <c r="C15" t="inlineStr">
        <is>
          <t>tỷ lệ</t>
        </is>
      </c>
      <c r="E15" s="6" t="inlineStr">
        <is>
          <t>CHƯA đo. Là tỷ lệ requisition đạt SHORTLIST_ACCEPTED; cần eval 100 CV + pilot. Xem breakeven ở 2_Pricing.</t>
        </is>
      </c>
    </row>
    <row r="16">
      <c r="A16" s="4" t="inlineStr">
        <is>
          <t>Requisition bắt đầu / tháng (attempts)</t>
        </is>
      </c>
      <c r="B16" s="15">
        <f>$B$12*$B$13</f>
        <v/>
      </c>
      <c r="C16" t="inlineStr">
        <is>
          <t>req</t>
        </is>
      </c>
      <c r="E16" s="6" t="inlineStr"/>
    </row>
    <row r="17">
      <c r="A17" s="4" t="inlineStr">
        <is>
          <t>Job hoàn thành / tháng (MẪU SỐ)</t>
        </is>
      </c>
      <c r="B17" s="15">
        <f>$B$16*$B$15</f>
        <v/>
      </c>
      <c r="C17" t="inlineStr">
        <is>
          <t>job</t>
        </is>
      </c>
      <c r="E17" s="6" t="inlineStr">
        <is>
          <t>Mẫu số là job HOÀN THÀNH, không phải job thử.</t>
        </is>
      </c>
    </row>
    <row r="18">
      <c r="A18" s="4" t="inlineStr">
        <is>
          <t>Requisition thất bại / hủy</t>
        </is>
      </c>
      <c r="B18" s="15">
        <f>$B$16-$B$17</f>
        <v/>
      </c>
      <c r="C18" t="inlineStr">
        <is>
          <t>req</t>
        </is>
      </c>
      <c r="E18" s="6" t="inlineStr">
        <is>
          <t>Vẫn tốn token + hạ tầng + QA nhưng không thu tiền → nằm trong tử số.</t>
        </is>
      </c>
    </row>
    <row r="20">
      <c r="A20" s="8" t="inlineStr">
        <is>
          <t>S3 · CHI PHÍ LLM — GEMINI 2.5 FLASH (giá list, kiểm tra 08/10/2026)</t>
        </is>
      </c>
      <c r="B20" s="9" t="n"/>
      <c r="C20" s="9" t="n"/>
      <c r="D20" s="9" t="n"/>
      <c r="E20" s="9" t="n"/>
    </row>
    <row r="21">
      <c r="A21" s="4" t="inlineStr">
        <is>
          <t>Giá input</t>
        </is>
      </c>
      <c r="B21" s="16" t="n">
        <v>0.3</v>
      </c>
      <c r="C21" t="inlineStr">
        <is>
          <t>USD/1M</t>
        </is>
      </c>
      <c r="E21" s="6" t="inlineStr">
        <is>
          <t>ai.google.dev/gemini-api/docs/pricing — Standard paid, text/image/video.</t>
        </is>
      </c>
    </row>
    <row r="22">
      <c r="A22" s="4" t="inlineStr">
        <is>
          <t>Giá output (đã gồm thinking token)</t>
        </is>
      </c>
      <c r="B22" s="16" t="n">
        <v>2.5</v>
      </c>
      <c r="C22" t="inlineStr">
        <is>
          <t>USD/1M</t>
        </is>
      </c>
      <c r="E22" s="6" t="inlineStr">
        <is>
          <t>Output tính cả thinking token.</t>
        </is>
      </c>
    </row>
    <row r="23">
      <c r="A23" s="4" t="inlineStr">
        <is>
          <t>Giá cached input</t>
        </is>
      </c>
      <c r="B23" s="16" t="n">
        <v>0.03</v>
      </c>
      <c r="C23" t="inlineStr">
        <is>
          <t>USD/1M</t>
        </is>
      </c>
      <c r="E23" s="6" t="inlineStr"/>
    </row>
    <row r="24">
      <c r="A24" s="4" t="inlineStr">
        <is>
          <t>Phí lưu cache (explicit)</t>
        </is>
      </c>
      <c r="B24" s="16" t="n">
        <v>1</v>
      </c>
      <c r="C24" t="inlineStr">
        <is>
          <t>USD/1M token/giờ</t>
        </is>
      </c>
      <c r="E24" s="6" t="inlineStr">
        <is>
          <t>Phí lưu theo thời gian — dễ bị quên.</t>
        </is>
      </c>
    </row>
    <row r="25" ht="30" customHeight="1">
      <c r="A25" s="4" t="inlineStr">
        <is>
          <t>Gemini 2.5 Flash-Lite input (bước kiểm tra trích dẫn)</t>
        </is>
      </c>
      <c r="B25" s="16" t="n">
        <v>0.1</v>
      </c>
      <c r="C25" t="inlineStr">
        <is>
          <t>USD/1M</t>
        </is>
      </c>
      <c r="E25" s="6" t="inlineStr"/>
    </row>
    <row r="26">
      <c r="A26" s="4" t="inlineStr">
        <is>
          <t>Gemini 2.5 Flash-Lite output</t>
        </is>
      </c>
      <c r="B26" s="16" t="n">
        <v>0.4</v>
      </c>
      <c r="C26" t="inlineStr">
        <is>
          <t>USD/1M</t>
        </is>
      </c>
      <c r="E26" s="6" t="inlineStr"/>
    </row>
    <row r="27">
      <c r="A27" s="4" t="inlineStr">
        <is>
          <t>Giá embedding (text)</t>
        </is>
      </c>
      <c r="B27" s="16" t="n">
        <v>0.2</v>
      </c>
      <c r="C27" t="inlineStr">
        <is>
          <t>USD/1M</t>
        </is>
      </c>
      <c r="E27" s="6" t="inlineStr">
        <is>
          <t>Gemini Embedding 2 — Standard text; dùng để khử trùng lặp CV.</t>
        </is>
      </c>
    </row>
    <row r="28">
      <c r="A28" s="4" t="inlineStr">
        <is>
          <t>Token system + JD + rubric</t>
        </is>
      </c>
      <c r="B28" s="7" t="n">
        <v>3000</v>
      </c>
      <c r="C28" t="inlineStr">
        <is>
          <t>token/CV</t>
        </is>
      </c>
      <c r="E28" s="6" t="inlineStr">
        <is>
          <t>Giả định; đo bằng usage_metadata.</t>
        </is>
      </c>
    </row>
    <row r="29">
      <c r="A29" s="4" t="inlineStr">
        <is>
          <t>Token CV (đã trích text)</t>
        </is>
      </c>
      <c r="B29" s="7" t="n">
        <v>1500</v>
      </c>
      <c r="C29" t="inlineStr">
        <is>
          <t>token/CV</t>
        </is>
      </c>
      <c r="E29" s="6" t="inlineStr">
        <is>
          <t>Giả định CV 2 trang.</t>
        </is>
      </c>
    </row>
    <row r="30">
      <c r="A30" s="4" t="inlineStr">
        <is>
          <t>Token output JSON (điểm + trích dẫn)</t>
        </is>
      </c>
      <c r="B30" s="7" t="n">
        <v>700</v>
      </c>
      <c r="C30" t="inlineStr">
        <is>
          <t>token/CV</t>
        </is>
      </c>
      <c r="E30" s="6" t="inlineStr"/>
    </row>
    <row r="31">
      <c r="A31" s="4" t="inlineStr">
        <is>
          <t>Token thinking</t>
        </is>
      </c>
      <c r="B31" s="7" t="n">
        <v>1000</v>
      </c>
      <c r="C31" t="inlineStr">
        <is>
          <t>token/CV</t>
        </is>
      </c>
      <c r="E31" s="6" t="inlineStr">
        <is>
          <t>Chưa đo; tính theo giá output.</t>
        </is>
      </c>
    </row>
    <row r="32">
      <c r="A32" s="4" t="inlineStr">
        <is>
          <t>Dùng explicit cache? (1=có, 0=không)</t>
        </is>
      </c>
      <c r="B32" s="13" t="n">
        <v>0</v>
      </c>
      <c r="C32" t="inlineStr">
        <is>
          <t>cờ</t>
        </is>
      </c>
      <c r="E32" s="6" t="inlineStr">
        <is>
          <t>Chọn 0 vì phí lưu cache &gt; tiết kiệm (xem dòng '% tiết kiệm nhờ cache').</t>
        </is>
      </c>
    </row>
    <row r="33">
      <c r="A33" s="4" t="inlineStr">
        <is>
          <t>Tỷ lệ cache hit nếu dùng cache</t>
        </is>
      </c>
      <c r="B33" s="14" t="n">
        <v>0.9</v>
      </c>
      <c r="C33" t="inlineStr">
        <is>
          <t>tỷ lệ</t>
        </is>
      </c>
      <c r="E33" s="6" t="inlineStr"/>
    </row>
    <row r="34">
      <c r="A34" s="4" t="inlineStr">
        <is>
          <t>Giờ lưu cache phân bổ / CV</t>
        </is>
      </c>
      <c r="B34" s="16" t="n">
        <v>0.6</v>
      </c>
      <c r="C34" t="inlineStr">
        <is>
          <t>giờ</t>
        </is>
      </c>
      <c r="E34" s="6" t="inlineStr">
        <is>
          <t>Giả định cache JD 24h, ~40 CV/JD/ngày → 24/40 = 0,6h.</t>
        </is>
      </c>
    </row>
    <row r="35">
      <c r="A35" s="4" t="inlineStr">
        <is>
          <t>Bước kiểm tra trích dẫn — input</t>
        </is>
      </c>
      <c r="B35" s="7" t="n">
        <v>2200</v>
      </c>
      <c r="C35" t="inlineStr">
        <is>
          <t>token/CV</t>
        </is>
      </c>
      <c r="E35" s="6" t="inlineStr">
        <is>
          <t>CV + JSON đưa vào Flash-Lite để xác minh trích dẫn có thật trong CV (chống bịa).</t>
        </is>
      </c>
    </row>
    <row r="36">
      <c r="A36" s="4" t="inlineStr">
        <is>
          <t>Bước kiểm tra trích dẫn — output</t>
        </is>
      </c>
      <c r="B36" s="7" t="n">
        <v>200</v>
      </c>
      <c r="C36" t="inlineStr">
        <is>
          <t>token/CV</t>
        </is>
      </c>
      <c r="E36" s="6" t="inlineStr"/>
    </row>
    <row r="37">
      <c r="A37" s="4" t="inlineStr">
        <is>
          <t>Tỷ lệ CV scan/ảnh cần OCR</t>
        </is>
      </c>
      <c r="B37" s="14" t="n">
        <v>0.25</v>
      </c>
      <c r="C37" t="inlineStr">
        <is>
          <t>tỷ lệ</t>
        </is>
      </c>
      <c r="E37" s="6" t="inlineStr">
        <is>
          <t>Giả định; CV Việt Nam hay là PDF scan/ảnh.</t>
        </is>
      </c>
    </row>
    <row r="38">
      <c r="A38" s="4" t="inlineStr">
        <is>
          <t>OCR — token input ảnh</t>
        </is>
      </c>
      <c r="B38" s="7" t="n">
        <v>516</v>
      </c>
      <c r="C38" t="inlineStr">
        <is>
          <t>token/CV</t>
        </is>
      </c>
      <c r="E38" s="6" t="inlineStr">
        <is>
          <t>Giả định 2 trang × 258; cần xác minh bằng usage_metadata.</t>
        </is>
      </c>
    </row>
    <row r="39">
      <c r="A39" s="4" t="inlineStr">
        <is>
          <t>OCR — token output text</t>
        </is>
      </c>
      <c r="B39" s="7" t="n">
        <v>1500</v>
      </c>
      <c r="C39" t="inlineStr">
        <is>
          <t>token/CV</t>
        </is>
      </c>
      <c r="E39" s="6" t="inlineStr"/>
    </row>
    <row r="40">
      <c r="A40" s="4" t="inlineStr">
        <is>
          <t>Token embedding / CV</t>
        </is>
      </c>
      <c r="B40" s="7" t="n">
        <v>1500</v>
      </c>
      <c r="C40" t="inlineStr">
        <is>
          <t>token</t>
        </is>
      </c>
      <c r="E40" s="6" t="inlineStr"/>
    </row>
    <row r="41" ht="30" customHeight="1">
      <c r="A41" s="4" t="inlineStr">
        <is>
          <t>Tạo rubric từ JD + báo cáo shortlist — input</t>
        </is>
      </c>
      <c r="B41" s="7" t="n">
        <v>8000</v>
      </c>
      <c r="C41" t="inlineStr">
        <is>
          <t>token/req</t>
        </is>
      </c>
      <c r="E41" s="6" t="inlineStr">
        <is>
          <t>1 lần / requisition.</t>
        </is>
      </c>
    </row>
    <row r="42" ht="30" customHeight="1">
      <c r="A42" s="4" t="inlineStr">
        <is>
          <t>Tạo rubric từ JD + báo cáo shortlist — output</t>
        </is>
      </c>
      <c r="B42" s="7" t="n">
        <v>3000</v>
      </c>
      <c r="C42" t="inlineStr">
        <is>
          <t>token/req</t>
        </is>
      </c>
      <c r="E42" s="6" t="inlineStr"/>
    </row>
    <row r="43" ht="30" customHeight="1">
      <c r="A43" s="4" t="inlineStr">
        <is>
          <t>Dùng Batch API? (1=có, 0=không)</t>
        </is>
      </c>
      <c r="B43" s="13" t="n">
        <v>0</v>
      </c>
      <c r="C43" t="inlineStr">
        <is>
          <t>cờ</t>
        </is>
      </c>
      <c r="E43" s="6" t="inlineStr">
        <is>
          <t>Shortlist không cần realtime (SLA vài giờ) → Batch (−50%) khả thi; base case để 0 (bảo thủ).</t>
        </is>
      </c>
    </row>
    <row r="45">
      <c r="A45" s="4" t="inlineStr">
        <is>
          <t>system tokens — không cache</t>
        </is>
      </c>
      <c r="B45" s="17">
        <f>$B$28*$B$21/1000000</f>
        <v/>
      </c>
      <c r="C45" t="inlineStr">
        <is>
          <t>USD/CV</t>
        </is>
      </c>
      <c r="E45" s="6" t="inlineStr"/>
    </row>
    <row r="46" ht="30" customHeight="1">
      <c r="A46" s="4" t="inlineStr">
        <is>
          <t>system tokens — có explicit cache (gồm phí lưu)</t>
        </is>
      </c>
      <c r="B46" s="17">
        <f>$B$28*($B$33*$B$23+(1-$B$33)*$B$21)/1000000+$B$28*$B$24*$B$34/1000000</f>
        <v/>
      </c>
      <c r="C46" t="inlineStr">
        <is>
          <t>USD/CV</t>
        </is>
      </c>
      <c r="E46" s="6" t="inlineStr"/>
    </row>
    <row r="47" ht="30" customHeight="1">
      <c r="A47" s="4" t="inlineStr">
        <is>
          <t>% tiết kiệm nhờ cache</t>
        </is>
      </c>
      <c r="B47" s="18">
        <f>1-$B$46/$B$45</f>
        <v/>
      </c>
      <c r="C47" t="inlineStr">
        <is>
          <t>tỷ lệ</t>
        </is>
      </c>
      <c r="E47" s="6" t="inlineStr">
        <is>
          <t>ÂM = explicit cache làm đắt hơn: khối system chỉ 3.000 token và phí lưu 1 USD/1M token-giờ. Không dùng explicit cache ở quy mô này.</t>
        </is>
      </c>
    </row>
    <row r="48">
      <c r="A48" s="4" t="inlineStr">
        <is>
          <t>Chấm điểm CV (system + CV + output)</t>
        </is>
      </c>
      <c r="B48" s="17">
        <f>IF($B$32=1,$B$46,$B$45)+$B$29*$B$21/1000000+($B$30+$B$31)*$B$22/1000000</f>
        <v/>
      </c>
      <c r="C48" t="inlineStr">
        <is>
          <t>USD/CV</t>
        </is>
      </c>
      <c r="E48" s="6" t="inlineStr"/>
    </row>
    <row r="49">
      <c r="A49" s="4" t="inlineStr">
        <is>
          <t>Kiểm tra trích dẫn (Flash-Lite)</t>
        </is>
      </c>
      <c r="B49" s="17">
        <f>($B$35*$B$25+$B$36*$B$26)/1000000</f>
        <v/>
      </c>
      <c r="C49" t="inlineStr">
        <is>
          <t>USD/CV</t>
        </is>
      </c>
      <c r="E49" s="6" t="inlineStr"/>
    </row>
    <row r="50">
      <c r="A50" s="4" t="inlineStr">
        <is>
          <t>OCR (bình quân theo tỷ lệ scan)</t>
        </is>
      </c>
      <c r="B50" s="17">
        <f>$B$37*($B$38*$B$21+$B$39*$B$22)/1000000</f>
        <v/>
      </c>
      <c r="C50" t="inlineStr">
        <is>
          <t>USD/CV</t>
        </is>
      </c>
      <c r="E50" s="6" t="inlineStr"/>
    </row>
    <row r="51">
      <c r="A51" s="4" t="inlineStr">
        <is>
          <t>Embedding</t>
        </is>
      </c>
      <c r="B51" s="17">
        <f>$B$40*$B$27/1000000</f>
        <v/>
      </c>
      <c r="C51" t="inlineStr">
        <is>
          <t>USD/CV</t>
        </is>
      </c>
      <c r="E51" s="6" t="inlineStr"/>
    </row>
    <row r="52">
      <c r="A52" s="4" t="inlineStr">
        <is>
          <t>LLM / CV (giá standard)</t>
        </is>
      </c>
      <c r="B52" s="17">
        <f>$B$48+$B$49+$B$50+$B$51</f>
        <v/>
      </c>
      <c r="C52" t="inlineStr">
        <is>
          <t>USD/CV</t>
        </is>
      </c>
      <c r="E52" s="6" t="inlineStr"/>
    </row>
    <row r="53" ht="30" customHeight="1">
      <c r="A53" s="4" t="inlineStr">
        <is>
          <t>LLM / CV (giá Batch −50%) — con số thứ hai</t>
        </is>
      </c>
      <c r="B53" s="17">
        <f>$B$52*0.5</f>
        <v/>
      </c>
      <c r="C53" t="inlineStr">
        <is>
          <t>USD/CV</t>
        </is>
      </c>
      <c r="E53" s="6" t="inlineStr">
        <is>
          <t>Chỉ áp dụng nếu chấp nhận SLA vài giờ.</t>
        </is>
      </c>
    </row>
    <row r="54">
      <c r="A54" s="4" t="inlineStr">
        <is>
          <t>LLM / CV đang dùng trong model</t>
        </is>
      </c>
      <c r="B54" s="17">
        <f>$B$52*(1-0.5*$B$43)</f>
        <v/>
      </c>
      <c r="C54" t="inlineStr">
        <is>
          <t>USD/CV</t>
        </is>
      </c>
      <c r="E54" s="6" t="inlineStr"/>
    </row>
    <row r="55">
      <c r="A55" s="4" t="inlineStr">
        <is>
          <t>LLM / requisition (rubric + báo cáo)</t>
        </is>
      </c>
      <c r="B55" s="17">
        <f>($B$41*$B$21+$B$42*$B$22)/1000000*(1-0.5*$B$43)</f>
        <v/>
      </c>
      <c r="C55" t="inlineStr">
        <is>
          <t>USD/req</t>
        </is>
      </c>
      <c r="E55" s="6" t="inlineStr"/>
    </row>
    <row r="57">
      <c r="A57" s="8" t="inlineStr">
        <is>
          <t>S4 · SPEECH</t>
        </is>
      </c>
      <c r="B57" s="9" t="n"/>
      <c r="C57" s="9" t="n"/>
      <c r="D57" s="9" t="n"/>
      <c r="E57" s="9" t="n"/>
    </row>
    <row r="58">
      <c r="A58" s="4" t="inlineStr">
        <is>
          <t>Chi phí STT/TTS</t>
        </is>
      </c>
      <c r="B58" s="19" t="n">
        <v>0</v>
      </c>
      <c r="C58" t="inlineStr">
        <is>
          <t>USD</t>
        </is>
      </c>
      <c r="E58" s="6" t="inlineStr">
        <is>
          <t>Bằng 0 CÓ LÝ DO: sản phẩm chỉ xử lý văn bản/ảnh CV, không có giọng nói ở MVP.</t>
        </is>
      </c>
    </row>
    <row r="60">
      <c r="A60" s="8" t="inlineStr">
        <is>
          <t>S5 · INFRA</t>
        </is>
      </c>
      <c r="B60" s="9" t="n"/>
      <c r="C60" s="9" t="n"/>
      <c r="D60" s="9" t="n"/>
      <c r="E60" s="9" t="n"/>
    </row>
    <row r="61" ht="30" customHeight="1">
      <c r="A61" s="4" t="inlineStr">
        <is>
          <t>Infra cố định / tháng</t>
        </is>
      </c>
      <c r="B61" s="13" t="n">
        <v>60</v>
      </c>
      <c r="C61" t="inlineStr">
        <is>
          <t>USD</t>
        </is>
      </c>
      <c r="E61" s="6" t="inlineStr">
        <is>
          <t>Giả định: Cloud Run/VM ~15 + Postgres ~19 + lưu trữ file CV ~5 + logging/giám sát ~21. Chưa có hóa đơn thật.</t>
        </is>
      </c>
    </row>
    <row r="62">
      <c r="A62" s="4" t="inlineStr">
        <is>
          <t>Infra tăng thêm / khách / tháng</t>
        </is>
      </c>
      <c r="B62" s="20" t="n">
        <v>4</v>
      </c>
      <c r="C62" t="inlineStr">
        <is>
          <t>USD</t>
        </is>
      </c>
      <c r="E62" s="6" t="inlineStr">
        <is>
          <t>Giả định.</t>
        </is>
      </c>
    </row>
    <row r="63">
      <c r="A63" s="4" t="inlineStr">
        <is>
          <t>Lưu trữ + băng thông / CV</t>
        </is>
      </c>
      <c r="B63" s="21" t="n">
        <v>0.0003</v>
      </c>
      <c r="C63" t="inlineStr">
        <is>
          <t>USD/CV</t>
        </is>
      </c>
      <c r="E63" s="6" t="inlineStr">
        <is>
          <t>Giả định; chưa có chính sách xóa dữ liệu CV (đề xuất 90 ngày).</t>
        </is>
      </c>
    </row>
    <row r="65">
      <c r="A65" s="8" t="inlineStr">
        <is>
          <t>S6 · RETRY</t>
        </is>
      </c>
      <c r="B65" s="9" t="n"/>
      <c r="C65" s="9" t="n"/>
      <c r="D65" s="9" t="n"/>
      <c r="E65" s="9" t="n"/>
    </row>
    <row r="66" ht="30" customHeight="1">
      <c r="A66" s="4" t="inlineStr">
        <is>
          <t>Tỷ lệ retry (timeout, JSON sai schema, 429)</t>
        </is>
      </c>
      <c r="B66" s="14" t="n">
        <v>0.08</v>
      </c>
      <c r="C66" t="inlineStr">
        <is>
          <t>tỷ lệ</t>
        </is>
      </c>
      <c r="E66" s="6" t="inlineStr">
        <is>
          <t>ƯỚC TÍNH 8% (dải 5–10%), chưa có log thật — KHÔNG để 0.</t>
        </is>
      </c>
    </row>
    <row r="68">
      <c r="A68" s="8" t="inlineStr">
        <is>
          <t>S7 · HITL (Biến thể A — vendor trả phần QA/kiểm toán)</t>
        </is>
      </c>
      <c r="B68" s="9" t="n"/>
      <c r="C68" s="9" t="n"/>
      <c r="D68" s="9" t="n"/>
      <c r="E68" s="9" t="n"/>
    </row>
    <row r="69" ht="30" customHeight="1">
      <c r="A69" s="4" t="inlineStr">
        <is>
          <t>% CV được vendor QA kiểm mẫu</t>
        </is>
      </c>
      <c r="B69" s="14" t="n">
        <v>0.03</v>
      </c>
      <c r="C69" t="inlineStr">
        <is>
          <t>tỷ lệ</t>
        </is>
      </c>
      <c r="E69" s="6" t="inlineStr">
        <is>
          <t>Kiểm mẫu ngẫu nhiên để phát hiện sai lệch/thiên lệch; không thay quyết định của recruiter.</t>
        </is>
      </c>
    </row>
    <row r="70">
      <c r="A70" s="4" t="inlineStr">
        <is>
          <t>Phút QA / CV</t>
        </is>
      </c>
      <c r="B70" s="20" t="n">
        <v>2</v>
      </c>
      <c r="C70" t="inlineStr">
        <is>
          <t>phút</t>
        </is>
      </c>
      <c r="E70" s="6" t="inlineStr"/>
    </row>
    <row r="71">
      <c r="A71" s="4" t="inlineStr">
        <is>
          <t>Phút rà soát rubric / requisition</t>
        </is>
      </c>
      <c r="B71" s="13" t="n">
        <v>8</v>
      </c>
      <c r="C71" t="inlineStr">
        <is>
          <t>phút</t>
        </is>
      </c>
      <c r="E71" s="6" t="inlineStr">
        <is>
          <t>Analyst kiểm rubric AI sinh ra từ JD trước khi chạy.</t>
        </is>
      </c>
    </row>
    <row r="72">
      <c r="A72" s="4" t="inlineStr">
        <is>
          <t>Chi phí giờ analyst</t>
        </is>
      </c>
      <c r="B72" s="16" t="n">
        <v>4.5</v>
      </c>
      <c r="C72" t="inlineStr">
        <is>
          <t>USD/giờ</t>
        </is>
      </c>
      <c r="E72" s="6" t="inlineStr">
        <is>
          <t>Giả định ≈ 117k ₫/giờ (đã gồm chi phí công ty).</t>
        </is>
      </c>
    </row>
    <row r="74">
      <c r="A74" s="8" t="inlineStr">
        <is>
          <t>S8 · OVERHEAD (tách riêng khỏi COGS)</t>
        </is>
      </c>
      <c r="B74" s="9" t="n"/>
      <c r="C74" s="9" t="n"/>
      <c r="D74" s="9" t="n"/>
      <c r="E74" s="9" t="n"/>
    </row>
    <row r="75">
      <c r="A75" s="4" t="inlineStr">
        <is>
          <t>Overhead cố định / tháng</t>
        </is>
      </c>
      <c r="B75" s="13" t="n">
        <v>400</v>
      </c>
      <c r="C75" t="inlineStr">
        <is>
          <t>USD</t>
        </is>
      </c>
      <c r="E75" s="6" t="inlineStr">
        <is>
          <t>Phân bổ thời gian founder (support, R&amp;D, pháp lý). Giả định.</t>
        </is>
      </c>
    </row>
    <row r="76">
      <c r="A76" s="4" t="inlineStr">
        <is>
          <t>Overhead tăng thêm / khách / tháng</t>
        </is>
      </c>
      <c r="B76" s="13" t="n">
        <v>30</v>
      </c>
      <c r="C76" t="inlineStr">
        <is>
          <t>USD</t>
        </is>
      </c>
      <c r="E76" s="6" t="inlineStr">
        <is>
          <t>Onboarding &amp; support.</t>
        </is>
      </c>
    </row>
    <row r="78">
      <c r="A78" s="8" t="inlineStr">
        <is>
          <t>KẾT QUẢ — THEO THÁNG</t>
        </is>
      </c>
      <c r="B78" s="9" t="n"/>
      <c r="C78" s="9" t="n"/>
      <c r="D78" s="9" t="n"/>
      <c r="E78" s="9" t="n"/>
    </row>
    <row r="79">
      <c r="A79" s="4" t="inlineStr">
        <is>
          <t>API (LLM) / tháng</t>
        </is>
      </c>
      <c r="B79" s="22">
        <f>$B$16*($B$14*$B$54+$B$55)+$B$58</f>
        <v/>
      </c>
      <c r="C79" t="inlineStr">
        <is>
          <t>USD</t>
        </is>
      </c>
      <c r="E79" s="6" t="inlineStr">
        <is>
          <t>Tính trên 100% requisition bắt đầu, kể cả loại thất bại.</t>
        </is>
      </c>
    </row>
    <row r="80">
      <c r="A80" s="4" t="inlineStr">
        <is>
          <t>Retry / tháng</t>
        </is>
      </c>
      <c r="B80" s="22">
        <f>$B$79*$B$66</f>
        <v/>
      </c>
      <c r="C80" t="inlineStr">
        <is>
          <t>USD</t>
        </is>
      </c>
      <c r="E80" s="6" t="inlineStr"/>
    </row>
    <row r="81">
      <c r="A81" s="4" t="inlineStr">
        <is>
          <t>Infra / tháng</t>
        </is>
      </c>
      <c r="B81" s="22">
        <f>$B$61+$B$62*$B$12+$B$16*$B$14*$B$63</f>
        <v/>
      </c>
      <c r="C81" t="inlineStr">
        <is>
          <t>USD</t>
        </is>
      </c>
      <c r="E81" s="6" t="inlineStr"/>
    </row>
    <row r="82">
      <c r="A82" s="4" t="inlineStr">
        <is>
          <t>HITL (QA vendor) / tháng</t>
        </is>
      </c>
      <c r="B82" s="22">
        <f>$B$16*($B$14*$B$69*$B$70+$B$71)/60*$B$72</f>
        <v/>
      </c>
      <c r="C82" t="inlineStr">
        <is>
          <t>USD</t>
        </is>
      </c>
      <c r="E82" s="6" t="inlineStr"/>
    </row>
    <row r="83">
      <c r="A83" s="4" t="inlineStr">
        <is>
          <t>COGS / tháng (API+Retry+Infra+HITL)</t>
        </is>
      </c>
      <c r="B83" s="22">
        <f>$B$79+$B$80+$B$81+$B$82</f>
        <v/>
      </c>
      <c r="C83" t="inlineStr">
        <is>
          <t>USD</t>
        </is>
      </c>
      <c r="E83" s="6" t="inlineStr"/>
    </row>
    <row r="84">
      <c r="A84" s="4" t="inlineStr">
        <is>
          <t>Overhead / tháng</t>
        </is>
      </c>
      <c r="B84" s="22">
        <f>$B$75+$B$76*$B$12</f>
        <v/>
      </c>
      <c r="C84" t="inlineStr">
        <is>
          <t>USD</t>
        </is>
      </c>
      <c r="E84" s="6" t="inlineStr"/>
    </row>
    <row r="86">
      <c r="A86" s="8" t="inlineStr">
        <is>
          <t>KẾT QUẢ — TRÊN MỖI JOB HOÀN THÀNH</t>
        </is>
      </c>
      <c r="B86" s="9" t="n"/>
      <c r="C86" s="9" t="n"/>
      <c r="D86" s="9" t="n"/>
      <c r="E86" s="9" t="n"/>
    </row>
    <row r="87">
      <c r="A87" s="4" t="inlineStr">
        <is>
          <t>API / job hoàn thành</t>
        </is>
      </c>
      <c r="B87" s="22">
        <f>$B$79/$B$17</f>
        <v/>
      </c>
      <c r="C87" t="inlineStr">
        <is>
          <t>USD/job</t>
        </is>
      </c>
      <c r="E87" s="6" t="inlineStr"/>
    </row>
    <row r="88">
      <c r="A88" s="4" t="inlineStr">
        <is>
          <t>Retry / job hoàn thành</t>
        </is>
      </c>
      <c r="B88" s="22">
        <f>$B$80/$B$17</f>
        <v/>
      </c>
      <c r="C88" t="inlineStr">
        <is>
          <t>USD/job</t>
        </is>
      </c>
      <c r="E88" s="6" t="inlineStr"/>
    </row>
    <row r="89">
      <c r="A89" s="4" t="inlineStr">
        <is>
          <t>Infra / job hoàn thành</t>
        </is>
      </c>
      <c r="B89" s="22">
        <f>$B$81/$B$17</f>
        <v/>
      </c>
      <c r="C89" t="inlineStr">
        <is>
          <t>USD/job</t>
        </is>
      </c>
      <c r="E89" s="6" t="inlineStr"/>
    </row>
    <row r="90">
      <c r="A90" s="4" t="inlineStr">
        <is>
          <t>HITL / job hoàn thành</t>
        </is>
      </c>
      <c r="B90" s="22">
        <f>$B$82/$B$17</f>
        <v/>
      </c>
      <c r="C90" t="inlineStr">
        <is>
          <t>USD/job</t>
        </is>
      </c>
      <c r="E90" s="6" t="inlineStr"/>
    </row>
    <row r="91">
      <c r="A91" s="4" t="inlineStr">
        <is>
          <t>Overhead / job hoàn thành</t>
        </is>
      </c>
      <c r="B91" s="22">
        <f>$B$84/$B$17</f>
        <v/>
      </c>
      <c r="C91" t="inlineStr">
        <is>
          <t>USD/job</t>
        </is>
      </c>
      <c r="E91" s="6" t="inlineStr"/>
    </row>
    <row r="92">
      <c r="A92" s="4" t="inlineStr">
        <is>
          <t>COGS / job (4 thành phần)</t>
        </is>
      </c>
      <c r="B92" s="22">
        <f>$B$83/$B$17</f>
        <v/>
      </c>
      <c r="C92" t="inlineStr">
        <is>
          <t>USD/job</t>
        </is>
      </c>
      <c r="E92" s="6" t="inlineStr">
        <is>
          <t>Dùng để tính Gross Margin.</t>
        </is>
      </c>
    </row>
    <row r="93">
      <c r="A93" s="4" t="inlineStr">
        <is>
          <t>COST/JOB ĐẦY ĐỦ 5 thành phần</t>
        </is>
      </c>
      <c r="B93" s="22">
        <f>($B$83+$B$84)/$B$17</f>
        <v/>
      </c>
      <c r="C93" t="inlineStr">
        <is>
          <t>USD/job</t>
        </is>
      </c>
      <c r="E93" s="6" t="inlineStr">
        <is>
          <t>Theo công thức bài lab (gồm Overhead).</t>
        </is>
      </c>
    </row>
    <row r="94">
      <c r="A94" s="4" t="inlineStr">
        <is>
          <t>COGS / job (VND)</t>
        </is>
      </c>
      <c r="B94" s="23">
        <f>$B$92*'0_README'!$B$7</f>
        <v/>
      </c>
      <c r="C94" t="inlineStr">
        <is>
          <t>₫/job</t>
        </is>
      </c>
      <c r="E94" s="6" t="inlineStr"/>
    </row>
    <row r="95">
      <c r="A95" s="4" t="inlineStr">
        <is>
          <t>Cost/Job đầy đủ (VND)</t>
        </is>
      </c>
      <c r="B95" s="23">
        <f>$B$93*'0_README'!$B$7</f>
        <v/>
      </c>
      <c r="C95" t="inlineStr">
        <is>
          <t>₫/job</t>
        </is>
      </c>
      <c r="E95" s="6" t="inlineStr"/>
    </row>
    <row r="96" ht="30" customHeight="1">
      <c r="A96" s="4" t="inlineStr">
        <is>
          <t>Cost/Job bị đánh giá thấp bao nhiêu % nếu chia nhầm cho job THỬ</t>
        </is>
      </c>
      <c r="B96" s="18">
        <f>$B$17/$B$16-1</f>
        <v/>
      </c>
      <c r="C96" t="inlineStr">
        <is>
          <t>tỷ lệ</t>
        </is>
      </c>
      <c r="E96" s="6" t="inlineStr">
        <is>
          <t>Chia cho job thử sẽ làm Cost/Job thấp hơn thực tế.</t>
        </is>
      </c>
    </row>
    <row r="97" ht="30" customHeight="1">
      <c r="A97" s="4" t="inlineStr">
        <is>
          <t>Tỷ trọng API+Retry trong COGS</t>
        </is>
      </c>
      <c r="B97" s="18">
        <f>($B$79+$B$80)/$B$83</f>
        <v/>
      </c>
      <c r="C97" t="inlineStr">
        <is>
          <t>tỷ lệ</t>
        </is>
      </c>
      <c r="E97" s="6" t="inlineStr">
        <is>
          <t>Nếu API chiếm &gt;90% COGS thì nghi ngờ bỏ sót chi phí. Ở đây hạ tầng + QA chiếm phần lớn.</t>
        </is>
      </c>
    </row>
  </sheetData>
  <mergeCells count="5">
    <mergeCell ref="B5:D5"/>
    <mergeCell ref="B8:D8"/>
    <mergeCell ref="B9:D9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4" customWidth="1" min="4" max="4"/>
    <col width="70" customWidth="1" min="5" max="5"/>
  </cols>
  <sheetData>
    <row r="1">
      <c r="A1" s="1" t="inlineStr">
        <is>
          <t>2 • PRICING, GROSS MARGIN &amp; STRESS TEST</t>
        </is>
      </c>
      <c r="B1" s="2" t="n"/>
      <c r="C1" s="2" t="n"/>
      <c r="D1" s="2" t="n"/>
      <c r="E1" s="2" t="n"/>
    </row>
    <row r="2">
      <c r="A2" s="3" t="inlineStr">
        <is>
          <t>GM chuẩn = (Doanh thu − COGS)/Doanh thu, COGS = API + Infra + HITL + Retry. Overhead tách riêng và báo cáo margin đầy tải.</t>
        </is>
      </c>
    </row>
    <row r="4">
      <c r="A4" s="8" t="inlineStr">
        <is>
          <t>OFFER (Hybrid)</t>
        </is>
      </c>
      <c r="B4" s="9" t="n"/>
      <c r="C4" s="9" t="n"/>
      <c r="D4" s="9" t="n"/>
      <c r="E4" s="9" t="n"/>
    </row>
    <row r="5" ht="30" customHeight="1">
      <c r="A5" s="4" t="inlineStr">
        <is>
          <t>Phí nền / khách / tháng</t>
        </is>
      </c>
      <c r="B5" s="24" t="n">
        <v>500000</v>
      </c>
      <c r="C5" t="inlineStr">
        <is>
          <t>₫</t>
        </is>
      </c>
      <c r="E5" s="6" t="inlineStr">
        <is>
          <t>Gồm: thiết lập rubric, onboarding, báo cáo kiểm toán thiên lệch hàng tháng. CHƯA kiểm chứng willingness-to-pay.</t>
        </is>
      </c>
    </row>
    <row r="6">
      <c r="A6" s="4" t="inlineStr">
        <is>
          <t>Phí / shortlist hoàn tất</t>
        </is>
      </c>
      <c r="B6" s="24" t="n">
        <v>800000</v>
      </c>
      <c r="C6" t="inlineStr">
        <is>
          <t>₫</t>
        </is>
      </c>
      <c r="E6" s="6" t="inlineStr">
        <is>
          <t>≈ 2.667 ₫/CV ở 300 CV/req — thấp hơn Workable (0,12 USD/CV).</t>
        </is>
      </c>
    </row>
    <row r="7">
      <c r="A7" s="4" t="inlineStr">
        <is>
          <t>Cam kết hoàn phí</t>
        </is>
      </c>
      <c r="B7" s="5" t="inlineStr">
        <is>
          <t>Hoàn 50% phí nền nếu tháng đó &lt;1 shortlist hoàn tất</t>
        </is>
      </c>
      <c r="C7" t="inlineStr"/>
      <c r="E7" s="6" t="inlineStr">
        <is>
          <t>Giảm cảm giác 'bị phạt' tháng thấp điểm.</t>
        </is>
      </c>
    </row>
    <row r="9">
      <c r="A9" s="8" t="inlineStr">
        <is>
          <t>DOANH THU &amp; MARGIN</t>
        </is>
      </c>
      <c r="B9" s="9" t="n"/>
      <c r="C9" s="9" t="n"/>
      <c r="D9" s="9" t="n"/>
      <c r="E9" s="9" t="n"/>
    </row>
    <row r="10">
      <c r="A10" s="4" t="inlineStr">
        <is>
          <t>Doanh thu / tháng</t>
        </is>
      </c>
      <c r="B10" s="23">
        <f>$B$5*'1_Cost_Job'!$B$12+$B$6*'1_Cost_Job'!$B$17</f>
        <v/>
      </c>
      <c r="C10" t="inlineStr">
        <is>
          <t>₫</t>
        </is>
      </c>
      <c r="E10" s="6" t="inlineStr"/>
    </row>
    <row r="11">
      <c r="A11" s="4" t="inlineStr">
        <is>
          <t>Doanh thu / tháng (USD)</t>
        </is>
      </c>
      <c r="B11" s="22">
        <f>$B$10/'0_README'!$B$7</f>
        <v/>
      </c>
      <c r="C11" t="inlineStr">
        <is>
          <t>USD</t>
        </is>
      </c>
      <c r="E11" s="6" t="inlineStr"/>
    </row>
    <row r="12">
      <c r="A12" s="4" t="inlineStr">
        <is>
          <t>Doanh thu hiệu dụng / job (gồm phí nền)</t>
        </is>
      </c>
      <c r="B12" s="23">
        <f>$B$10/'1_Cost_Job'!$B$17</f>
        <v/>
      </c>
      <c r="C12" t="inlineStr">
        <is>
          <t>₫/job</t>
        </is>
      </c>
      <c r="E12" s="6" t="inlineStr"/>
    </row>
    <row r="13">
      <c r="A13" s="4" t="inlineStr">
        <is>
          <t>COGS / tháng</t>
        </is>
      </c>
      <c r="B13" s="23">
        <f>'1_Cost_Job'!$B$83*'0_README'!$B$7</f>
        <v/>
      </c>
      <c r="C13" t="inlineStr">
        <is>
          <t>₫</t>
        </is>
      </c>
      <c r="E13" s="6" t="inlineStr"/>
    </row>
    <row r="14">
      <c r="A14" s="4" t="inlineStr">
        <is>
          <t>Overhead / tháng</t>
        </is>
      </c>
      <c r="B14" s="23">
        <f>'1_Cost_Job'!$B$84*'0_README'!$B$7</f>
        <v/>
      </c>
      <c r="C14" t="inlineStr">
        <is>
          <t>₫</t>
        </is>
      </c>
      <c r="E14" s="6" t="inlineStr"/>
    </row>
    <row r="15">
      <c r="A15" s="4" t="inlineStr">
        <is>
          <t>GROSS MARGIN (theo COGS)</t>
        </is>
      </c>
      <c r="B15" s="18">
        <f>($B$10-$B$13)/$B$10</f>
        <v/>
      </c>
      <c r="C15" t="inlineStr">
        <is>
          <t>tỷ lệ</t>
        </is>
      </c>
      <c r="E15" s="6" t="inlineStr">
        <is>
          <t>Mục tiêu ≥60%. Xanh nếu đạt.</t>
        </is>
      </c>
    </row>
    <row r="16">
      <c r="A16" s="4" t="inlineStr">
        <is>
          <t>Margin đầy tải (sau Overhead)</t>
        </is>
      </c>
      <c r="B16" s="18">
        <f>($B$10-$B$13-$B$14)/$B$10</f>
        <v/>
      </c>
      <c r="C16" t="inlineStr">
        <is>
          <t>tỷ lệ</t>
        </is>
      </c>
      <c r="E16" s="6" t="inlineStr">
        <is>
          <t>KHÔNG gọi là GM kế toán. Rất mỏng ở 8 khách.</t>
        </is>
      </c>
    </row>
    <row r="17">
      <c r="A17" s="4" t="inlineStr">
        <is>
          <t>Ngưỡng GM</t>
        </is>
      </c>
      <c r="B17" s="14" t="n">
        <v>0.6</v>
      </c>
      <c r="C17" t="inlineStr">
        <is>
          <t>tỷ lệ</t>
        </is>
      </c>
      <c r="E17" s="6" t="inlineStr"/>
    </row>
    <row r="18">
      <c r="A18" s="4" t="inlineStr">
        <is>
          <t>Trạng thái GM</t>
        </is>
      </c>
      <c r="B18" s="25">
        <f>IF($B$15&gt;=$B$17,"ĐẠT ≥60%","CHƯA ĐẠT")</f>
        <v/>
      </c>
      <c r="C18" t="inlineStr"/>
      <c r="E18" s="6" t="inlineStr"/>
    </row>
    <row r="19">
      <c r="A19" s="4" t="inlineStr">
        <is>
          <t>GM có đáng ngờ không (&gt;85%)?</t>
        </is>
      </c>
      <c r="B19" s="25">
        <f>IF($B$15&gt;0.85,"ĐÁNG NGỜ — thiếu chi phí","Không (&lt;85%)")</f>
        <v/>
      </c>
      <c r="C19" t="inlineStr"/>
      <c r="E19" s="6" t="inlineStr"/>
    </row>
    <row r="21">
      <c r="A21" s="8" t="inlineStr">
        <is>
          <t>GIÁ SÀN = 3 × COST/JOB</t>
        </is>
      </c>
      <c r="B21" s="9" t="n"/>
      <c r="C21" s="9" t="n"/>
      <c r="D21" s="9" t="n"/>
      <c r="E21" s="9" t="n"/>
    </row>
    <row r="22">
      <c r="A22" s="4" t="inlineStr">
        <is>
          <t>Giá sàn theo COGS/job</t>
        </is>
      </c>
      <c r="B22" s="23">
        <f>3*'1_Cost_Job'!$B$94</f>
        <v/>
      </c>
      <c r="C22" t="inlineStr">
        <is>
          <t>₫/job</t>
        </is>
      </c>
      <c r="E22" s="6" t="inlineStr"/>
    </row>
    <row r="23" ht="30" customHeight="1">
      <c r="A23" s="4" t="inlineStr">
        <is>
          <t>Giá sàn theo Cost/Job đầy đủ (5 thành phần)</t>
        </is>
      </c>
      <c r="B23" s="23">
        <f>3*'1_Cost_Job'!$B$95</f>
        <v/>
      </c>
      <c r="C23" t="inlineStr">
        <is>
          <t>₫/job</t>
        </is>
      </c>
      <c r="E23" s="6" t="inlineStr"/>
    </row>
    <row r="24">
      <c r="A24" s="4" t="inlineStr">
        <is>
          <t>Phí/shortlist ≥ giá sàn COGS?</t>
        </is>
      </c>
      <c r="B24" s="25">
        <f>IF($B$6&gt;=$B$22,"ĐẠT","KHÔNG ĐẠT")</f>
        <v/>
      </c>
      <c r="C24" t="inlineStr"/>
      <c r="E24" s="6" t="inlineStr"/>
    </row>
    <row r="25" ht="30" customHeight="1">
      <c r="A25" s="4" t="inlineStr">
        <is>
          <t>Phí/shortlist ≥ giá sàn đầy đủ?</t>
        </is>
      </c>
      <c r="B25" s="25">
        <f>IF($B$6&gt;=$B$23,"ĐẠT","KHÔNG ĐẠT — overhead còn gánh trên ít khách")</f>
        <v/>
      </c>
      <c r="C25" t="inlineStr"/>
      <c r="E25" s="6" t="inlineStr">
        <is>
          <t>Thừa nhận: ở 8 khách, Cost/Job đầy đủ xấp xỉ giá bán. Cần ≥12–20 khách để overhead/job giảm (bảng quy mô bên dưới).</t>
        </is>
      </c>
    </row>
    <row r="27">
      <c r="A27" s="8" t="inlineStr">
        <is>
          <t>NEO GIÁ TRẦN</t>
        </is>
      </c>
      <c r="B27" s="9" t="n"/>
      <c r="C27" s="9" t="n"/>
      <c r="D27" s="9" t="n"/>
      <c r="E27" s="9" t="n"/>
    </row>
    <row r="28">
      <c r="A28" s="4" t="inlineStr">
        <is>
          <t>Phút sàng lọc thủ công / CV</t>
        </is>
      </c>
      <c r="B28" s="20" t="n">
        <v>4</v>
      </c>
      <c r="C28" t="inlineStr">
        <is>
          <t>phút</t>
        </is>
      </c>
      <c r="E28" s="6" t="inlineStr">
        <is>
          <t>Giả định: đọc, so JD, ghi vào Excel. Đo bằng time-study 5 HR trong tháng 1.</t>
        </is>
      </c>
    </row>
    <row r="29">
      <c r="A29" s="4" t="inlineStr">
        <is>
          <t>Phút recruiter xem top-10 sau khi có AI</t>
        </is>
      </c>
      <c r="B29" s="13" t="n">
        <v>50</v>
      </c>
      <c r="C29" t="inlineStr">
        <is>
          <t>phút/req</t>
        </is>
      </c>
      <c r="E29" s="6" t="inlineStr">
        <is>
          <t>10 hồ sơ × 5 phút.</t>
        </is>
      </c>
    </row>
    <row r="30">
      <c r="A30" s="4" t="inlineStr">
        <is>
          <t>Lương HR executive (giả định)</t>
        </is>
      </c>
      <c r="B30" s="24" t="n">
        <v>12000000</v>
      </c>
      <c r="C30" t="inlineStr">
        <is>
          <t>₫/tháng</t>
        </is>
      </c>
      <c r="E30" s="6" t="inlineStr">
        <is>
          <t>Giả định; chưa phỏng vấn.</t>
        </is>
      </c>
    </row>
    <row r="31">
      <c r="A31" s="4" t="inlineStr">
        <is>
          <t>Giờ làm / tháng</t>
        </is>
      </c>
      <c r="B31" s="13" t="n">
        <v>176</v>
      </c>
      <c r="C31" t="inlineStr">
        <is>
          <t>giờ</t>
        </is>
      </c>
      <c r="E31" s="6" t="inlineStr"/>
    </row>
    <row r="32">
      <c r="A32" s="4" t="inlineStr">
        <is>
          <t>Chi phí nhân công sàng lọc / requisition</t>
        </is>
      </c>
      <c r="B32" s="23">
        <f>'1_Cost_Job'!$B$14*$B$28/60*$B$30/$B$31</f>
        <v/>
      </c>
      <c r="C32" t="inlineStr">
        <is>
          <t>₫</t>
        </is>
      </c>
      <c r="E32" s="6" t="inlineStr"/>
    </row>
    <row r="33">
      <c r="A33" s="4" t="inlineStr">
        <is>
          <t>Neo theo nhân công: 50% – 70%</t>
        </is>
      </c>
      <c r="B33" s="25">
        <f>TEXT(0.5*$B$32,"#,##0")&amp;" – "&amp;TEXT(0.7*$B$32,"#,##0")&amp;" ₫"</f>
        <v/>
      </c>
      <c r="C33" t="inlineStr"/>
      <c r="E33" s="6" t="inlineStr"/>
    </row>
    <row r="34">
      <c r="A34" s="4" t="inlineStr">
        <is>
          <t>Giá/shortlist ÷ nhân công thay thế</t>
        </is>
      </c>
      <c r="B34" s="18">
        <f>$B$6/$B$32</f>
        <v/>
      </c>
      <c r="C34" t="inlineStr">
        <is>
          <t>tỷ lệ</t>
        </is>
      </c>
      <c r="E34" s="6" t="inlineStr">
        <is>
          <t>Nằm trong 50–70% = hợp lệ theo neo nhân công.</t>
        </is>
      </c>
    </row>
    <row r="35">
      <c r="A35" s="4" t="inlineStr">
        <is>
          <t>Giá trị tiết kiệm / requisition</t>
        </is>
      </c>
      <c r="B35" s="23">
        <f>$B$32-$B$29/60*$B$30/$B$31</f>
        <v/>
      </c>
      <c r="C35" t="inlineStr">
        <is>
          <t>₫</t>
        </is>
      </c>
      <c r="E35" s="6" t="inlineStr"/>
    </row>
    <row r="36" ht="30" customHeight="1">
      <c r="A36" s="4" t="inlineStr">
        <is>
          <t>Neo theo giá trị: 10% – 25% giá trị tiết kiệm</t>
        </is>
      </c>
      <c r="B36" s="25">
        <f>TEXT(0.1*$B$35,"#,##0")&amp;" – "&amp;TEXT(0.25*$B$35,"#,##0")&amp;" ₫"</f>
        <v/>
      </c>
      <c r="C36" t="inlineStr"/>
      <c r="E36" s="6" t="inlineStr">
        <is>
          <t>Giá bán NẰM TRÊN dải này vì mới tính tiết kiệm thời gian, chưa tính lợi ích tuyển nhanh/ít bỏ sót. Phải kiểm bằng thử giá trong pilot (3 mức giá).</t>
        </is>
      </c>
    </row>
    <row r="38">
      <c r="A38" s="8" t="inlineStr">
        <is>
          <t>STRESS TEST — BREAKEVEN CONTAINMENT</t>
        </is>
      </c>
      <c r="B38" s="9" t="n"/>
      <c r="C38" s="9" t="n"/>
      <c r="D38" s="9" t="n"/>
      <c r="E38" s="9" t="n"/>
    </row>
    <row r="39" ht="30" customHeight="1">
      <c r="A39" s="4" t="inlineStr">
        <is>
          <t>Containment tối thiểu để GM ≥ 60%</t>
        </is>
      </c>
      <c r="B39" s="18">
        <f>MAX(0,($B$13/(1-$B$17)-$B$5*'1_Cost_Job'!$B$12)/($B$6*'1_Cost_Job'!$B$16))</f>
        <v/>
      </c>
      <c r="C39" t="inlineStr">
        <is>
          <t>tỷ lệ</t>
        </is>
      </c>
      <c r="E39" s="6" t="inlineStr">
        <is>
          <t>Đại số: Rev ≥ COGS/(1−0,6) ⇒ c ≥ (COGS/0,4 − phí nền×khách)/(giá×attempts). COGS không đổi theo c vì mọi requisition thử đều tốn chi phí.</t>
        </is>
      </c>
    </row>
    <row r="40">
      <c r="A40" s="4" t="inlineStr">
        <is>
          <t>Containment giả định hiện tại</t>
        </is>
      </c>
      <c r="B40" s="18">
        <f>'1_Cost_Job'!$B$15</f>
        <v/>
      </c>
      <c r="C40" t="inlineStr">
        <is>
          <t>tỷ lệ</t>
        </is>
      </c>
      <c r="E40" s="6" t="inlineStr">
        <is>
          <t>ƯỚC TÍNH, chưa có eval — deadline eval ở 5_90Day_Plan.</t>
        </is>
      </c>
    </row>
    <row r="41">
      <c r="A41" s="4" t="inlineStr">
        <is>
          <t>Biên an toàn</t>
        </is>
      </c>
      <c r="B41" s="18">
        <f>'1_Cost_Job'!$B$15-$B$39</f>
        <v/>
      </c>
      <c r="C41" t="inlineStr">
        <is>
          <t>điểm %</t>
        </is>
      </c>
      <c r="E41" s="6" t="inlineStr"/>
    </row>
    <row r="42">
      <c r="A42" s="4" t="inlineStr">
        <is>
          <t>Nếu thấp hơn ngưỡng sẽ làm gì?</t>
        </is>
      </c>
      <c r="B42" s="5" t="inlineStr">
        <is>
          <t>Tăng containment (cải thiện parse/OCR + rubric) trước; nếu vẫn thiếu thì tăng phí/shortlist; KHÔNG chuyển sang Biến thể B (nuốt HITL vào COGS).</t>
        </is>
      </c>
      <c r="C42" t="inlineStr"/>
      <c r="E42" s="6" t="inlineStr"/>
    </row>
    <row r="44">
      <c r="A44" s="26" t="inlineStr">
        <is>
          <t>Độ nhạy theo containment</t>
        </is>
      </c>
    </row>
    <row r="45">
      <c r="A45" s="26" t="inlineStr">
        <is>
          <t>Containment</t>
        </is>
      </c>
      <c r="B45" s="26" t="inlineStr">
        <is>
          <t>Job hoàn thành</t>
        </is>
      </c>
      <c r="C45" s="26" t="inlineStr">
        <is>
          <t>Cost/job (COGS, ₫)</t>
        </is>
      </c>
      <c r="D45" s="26" t="inlineStr"/>
      <c r="E45" s="26" t="inlineStr">
        <is>
          <t>GM</t>
        </is>
      </c>
    </row>
    <row r="46">
      <c r="A46" s="27" t="n">
        <v>0.5</v>
      </c>
      <c r="B46" s="28">
        <f>'1_Cost_Job'!$B$16*A46</f>
        <v/>
      </c>
      <c r="C46" s="29">
        <f>$B$13/B46</f>
        <v/>
      </c>
      <c r="E46" s="30">
        <f>($B$5*'1_Cost_Job'!$B$12+$B$6*B46-$B$13)/($B$5*'1_Cost_Job'!$B$12+$B$6*B46)</f>
        <v/>
      </c>
    </row>
    <row r="47">
      <c r="A47" s="27" t="n">
        <v>0.6</v>
      </c>
      <c r="B47" s="28">
        <f>'1_Cost_Job'!$B$16*A47</f>
        <v/>
      </c>
      <c r="C47" s="29">
        <f>$B$13/B47</f>
        <v/>
      </c>
      <c r="E47" s="30">
        <f>($B$5*'1_Cost_Job'!$B$12+$B$6*B47-$B$13)/($B$5*'1_Cost_Job'!$B$12+$B$6*B47)</f>
        <v/>
      </c>
    </row>
    <row r="48">
      <c r="A48" s="27" t="n">
        <v>0.7</v>
      </c>
      <c r="B48" s="28">
        <f>'1_Cost_Job'!$B$16*A48</f>
        <v/>
      </c>
      <c r="C48" s="29">
        <f>$B$13/B48</f>
        <v/>
      </c>
      <c r="E48" s="30">
        <f>($B$5*'1_Cost_Job'!$B$12+$B$6*B48-$B$13)/($B$5*'1_Cost_Job'!$B$12+$B$6*B48)</f>
        <v/>
      </c>
    </row>
    <row r="49">
      <c r="A49" s="27" t="n">
        <v>0.8</v>
      </c>
      <c r="B49" s="28">
        <f>'1_Cost_Job'!$B$16*A49</f>
        <v/>
      </c>
      <c r="C49" s="29">
        <f>$B$13/B49</f>
        <v/>
      </c>
      <c r="E49" s="30">
        <f>($B$5*'1_Cost_Job'!$B$12+$B$6*B49-$B$13)/($B$5*'1_Cost_Job'!$B$12+$B$6*B49)</f>
        <v/>
      </c>
    </row>
    <row r="50">
      <c r="A50" s="27" t="n">
        <v>0.9</v>
      </c>
      <c r="B50" s="28">
        <f>'1_Cost_Job'!$B$16*A50</f>
        <v/>
      </c>
      <c r="C50" s="29">
        <f>$B$13/B50</f>
        <v/>
      </c>
      <c r="E50" s="30">
        <f>($B$5*'1_Cost_Job'!$B$12+$B$6*B50-$B$13)/($B$5*'1_Cost_Job'!$B$12+$B$6*B50)</f>
        <v/>
      </c>
    </row>
    <row r="52">
      <c r="A52" s="26" t="inlineStr">
        <is>
          <t>Độ nhạy theo SỐ KHÁCH (overhead/job giảm khi quy mô tăng)</t>
        </is>
      </c>
    </row>
    <row r="53">
      <c r="A53" s="26" t="inlineStr">
        <is>
          <t>Số khách</t>
        </is>
      </c>
      <c r="B53" s="26" t="inlineStr">
        <is>
          <t>COGS/job (₫)</t>
        </is>
      </c>
      <c r="C53" s="26" t="inlineStr">
        <is>
          <t>Cost/job đầy đủ (₫)</t>
        </is>
      </c>
      <c r="D53" s="26" t="inlineStr"/>
      <c r="E53" s="26" t="inlineStr">
        <is>
          <t>GM · Margin đầy tải</t>
        </is>
      </c>
    </row>
    <row r="54">
      <c r="A54" s="31" t="n">
        <v>3</v>
      </c>
      <c r="B54" s="29">
        <f>(((A54*'1_Cost_Job'!$B$13)*('1_Cost_Job'!$B$14*'1_Cost_Job'!$B$54+'1_Cost_Job'!$B$55)*(1+'1_Cost_Job'!$B$66))+('1_Cost_Job'!$B$61+'1_Cost_Job'!$B$62*A54+(A54*'1_Cost_Job'!$B$13)*'1_Cost_Job'!$B$14*'1_Cost_Job'!$B$63)+((A54*'1_Cost_Job'!$B$13)*('1_Cost_Job'!$B$14*'1_Cost_Job'!$B$69*'1_Cost_Job'!$B$70+'1_Cost_Job'!$B$71)/60*'1_Cost_Job'!$B$72))/((A54*'1_Cost_Job'!$B$13)*'1_Cost_Job'!$B$15)*'0_README'!$B$7</f>
        <v/>
      </c>
      <c r="C54" s="29">
        <f>((((A54*'1_Cost_Job'!$B$13)*('1_Cost_Job'!$B$14*'1_Cost_Job'!$B$54+'1_Cost_Job'!$B$55)*(1+'1_Cost_Job'!$B$66))+('1_Cost_Job'!$B$61+'1_Cost_Job'!$B$62*A54+(A54*'1_Cost_Job'!$B$13)*'1_Cost_Job'!$B$14*'1_Cost_Job'!$B$63)+((A54*'1_Cost_Job'!$B$13)*('1_Cost_Job'!$B$14*'1_Cost_Job'!$B$69*'1_Cost_Job'!$B$70+'1_Cost_Job'!$B$71)/60*'1_Cost_Job'!$B$72))+('1_Cost_Job'!$B$75+'1_Cost_Job'!$B$76*A54))/((A54*'1_Cost_Job'!$B$13)*'1_Cost_Job'!$B$15)*'0_README'!$B$7</f>
        <v/>
      </c>
      <c r="E54" s="32">
        <f>TEXT(((($B$5*A54+$B$6*((A54*'1_Cost_Job'!$B$13)*'1_Cost_Job'!$B$15))/'0_README'!$B$7)-(((A54*'1_Cost_Job'!$B$13)*('1_Cost_Job'!$B$14*'1_Cost_Job'!$B$54+'1_Cost_Job'!$B$55)*(1+'1_Cost_Job'!$B$66))+('1_Cost_Job'!$B$61+'1_Cost_Job'!$B$62*A54+(A54*'1_Cost_Job'!$B$13)*'1_Cost_Job'!$B$14*'1_Cost_Job'!$B$63)+((A54*'1_Cost_Job'!$B$13)*('1_Cost_Job'!$B$14*'1_Cost_Job'!$B$69*'1_Cost_Job'!$B$70+'1_Cost_Job'!$B$71)/60*'1_Cost_Job'!$B$72)))/(($B$5*A54+$B$6*((A54*'1_Cost_Job'!$B$13)*'1_Cost_Job'!$B$15))/'0_README'!$B$7),"0.0%")&amp;"  ·  "&amp;TEXT(((($B$5*A54+$B$6*((A54*'1_Cost_Job'!$B$13)*'1_Cost_Job'!$B$15))/'0_README'!$B$7)-(((A54*'1_Cost_Job'!$B$13)*('1_Cost_Job'!$B$14*'1_Cost_Job'!$B$54+'1_Cost_Job'!$B$55)*(1+'1_Cost_Job'!$B$66))+('1_Cost_Job'!$B$61+'1_Cost_Job'!$B$62*A54+(A54*'1_Cost_Job'!$B$13)*'1_Cost_Job'!$B$14*'1_Cost_Job'!$B$63)+((A54*'1_Cost_Job'!$B$13)*('1_Cost_Job'!$B$14*'1_Cost_Job'!$B$69*'1_Cost_Job'!$B$70+'1_Cost_Job'!$B$71)/60*'1_Cost_Job'!$B$72))-('1_Cost_Job'!$B$75+'1_Cost_Job'!$B$76*A54))/(($B$5*A54+$B$6*((A54*'1_Cost_Job'!$B$13)*'1_Cost_Job'!$B$15))/'0_README'!$B$7),"0.0%")</f>
        <v/>
      </c>
    </row>
    <row r="55">
      <c r="A55" s="31" t="n">
        <v>5</v>
      </c>
      <c r="B55" s="29">
        <f>(((A55*'1_Cost_Job'!$B$13)*('1_Cost_Job'!$B$14*'1_Cost_Job'!$B$54+'1_Cost_Job'!$B$55)*(1+'1_Cost_Job'!$B$66))+('1_Cost_Job'!$B$61+'1_Cost_Job'!$B$62*A55+(A55*'1_Cost_Job'!$B$13)*'1_Cost_Job'!$B$14*'1_Cost_Job'!$B$63)+((A55*'1_Cost_Job'!$B$13)*('1_Cost_Job'!$B$14*'1_Cost_Job'!$B$69*'1_Cost_Job'!$B$70+'1_Cost_Job'!$B$71)/60*'1_Cost_Job'!$B$72))/((A55*'1_Cost_Job'!$B$13)*'1_Cost_Job'!$B$15)*'0_README'!$B$7</f>
        <v/>
      </c>
      <c r="C55" s="29">
        <f>((((A55*'1_Cost_Job'!$B$13)*('1_Cost_Job'!$B$14*'1_Cost_Job'!$B$54+'1_Cost_Job'!$B$55)*(1+'1_Cost_Job'!$B$66))+('1_Cost_Job'!$B$61+'1_Cost_Job'!$B$62*A55+(A55*'1_Cost_Job'!$B$13)*'1_Cost_Job'!$B$14*'1_Cost_Job'!$B$63)+((A55*'1_Cost_Job'!$B$13)*('1_Cost_Job'!$B$14*'1_Cost_Job'!$B$69*'1_Cost_Job'!$B$70+'1_Cost_Job'!$B$71)/60*'1_Cost_Job'!$B$72))+('1_Cost_Job'!$B$75+'1_Cost_Job'!$B$76*A55))/((A55*'1_Cost_Job'!$B$13)*'1_Cost_Job'!$B$15)*'0_README'!$B$7</f>
        <v/>
      </c>
      <c r="E55" s="32">
        <f>TEXT(((($B$5*A55+$B$6*((A55*'1_Cost_Job'!$B$13)*'1_Cost_Job'!$B$15))/'0_README'!$B$7)-(((A55*'1_Cost_Job'!$B$13)*('1_Cost_Job'!$B$14*'1_Cost_Job'!$B$54+'1_Cost_Job'!$B$55)*(1+'1_Cost_Job'!$B$66))+('1_Cost_Job'!$B$61+'1_Cost_Job'!$B$62*A55+(A55*'1_Cost_Job'!$B$13)*'1_Cost_Job'!$B$14*'1_Cost_Job'!$B$63)+((A55*'1_Cost_Job'!$B$13)*('1_Cost_Job'!$B$14*'1_Cost_Job'!$B$69*'1_Cost_Job'!$B$70+'1_Cost_Job'!$B$71)/60*'1_Cost_Job'!$B$72)))/(($B$5*A55+$B$6*((A55*'1_Cost_Job'!$B$13)*'1_Cost_Job'!$B$15))/'0_README'!$B$7),"0.0%")&amp;"  ·  "&amp;TEXT(((($B$5*A55+$B$6*((A55*'1_Cost_Job'!$B$13)*'1_Cost_Job'!$B$15))/'0_README'!$B$7)-(((A55*'1_Cost_Job'!$B$13)*('1_Cost_Job'!$B$14*'1_Cost_Job'!$B$54+'1_Cost_Job'!$B$55)*(1+'1_Cost_Job'!$B$66))+('1_Cost_Job'!$B$61+'1_Cost_Job'!$B$62*A55+(A55*'1_Cost_Job'!$B$13)*'1_Cost_Job'!$B$14*'1_Cost_Job'!$B$63)+((A55*'1_Cost_Job'!$B$13)*('1_Cost_Job'!$B$14*'1_Cost_Job'!$B$69*'1_Cost_Job'!$B$70+'1_Cost_Job'!$B$71)/60*'1_Cost_Job'!$B$72))-('1_Cost_Job'!$B$75+'1_Cost_Job'!$B$76*A55))/(($B$5*A55+$B$6*((A55*'1_Cost_Job'!$B$13)*'1_Cost_Job'!$B$15))/'0_README'!$B$7),"0.0%")</f>
        <v/>
      </c>
    </row>
    <row r="56">
      <c r="A56" s="31" t="n">
        <v>8</v>
      </c>
      <c r="B56" s="29">
        <f>(((A56*'1_Cost_Job'!$B$13)*('1_Cost_Job'!$B$14*'1_Cost_Job'!$B$54+'1_Cost_Job'!$B$55)*(1+'1_Cost_Job'!$B$66))+('1_Cost_Job'!$B$61+'1_Cost_Job'!$B$62*A56+(A56*'1_Cost_Job'!$B$13)*'1_Cost_Job'!$B$14*'1_Cost_Job'!$B$63)+((A56*'1_Cost_Job'!$B$13)*('1_Cost_Job'!$B$14*'1_Cost_Job'!$B$69*'1_Cost_Job'!$B$70+'1_Cost_Job'!$B$71)/60*'1_Cost_Job'!$B$72))/((A56*'1_Cost_Job'!$B$13)*'1_Cost_Job'!$B$15)*'0_README'!$B$7</f>
        <v/>
      </c>
      <c r="C56" s="29">
        <f>((((A56*'1_Cost_Job'!$B$13)*('1_Cost_Job'!$B$14*'1_Cost_Job'!$B$54+'1_Cost_Job'!$B$55)*(1+'1_Cost_Job'!$B$66))+('1_Cost_Job'!$B$61+'1_Cost_Job'!$B$62*A56+(A56*'1_Cost_Job'!$B$13)*'1_Cost_Job'!$B$14*'1_Cost_Job'!$B$63)+((A56*'1_Cost_Job'!$B$13)*('1_Cost_Job'!$B$14*'1_Cost_Job'!$B$69*'1_Cost_Job'!$B$70+'1_Cost_Job'!$B$71)/60*'1_Cost_Job'!$B$72))+('1_Cost_Job'!$B$75+'1_Cost_Job'!$B$76*A56))/((A56*'1_Cost_Job'!$B$13)*'1_Cost_Job'!$B$15)*'0_README'!$B$7</f>
        <v/>
      </c>
      <c r="E56" s="32">
        <f>TEXT(((($B$5*A56+$B$6*((A56*'1_Cost_Job'!$B$13)*'1_Cost_Job'!$B$15))/'0_README'!$B$7)-(((A56*'1_Cost_Job'!$B$13)*('1_Cost_Job'!$B$14*'1_Cost_Job'!$B$54+'1_Cost_Job'!$B$55)*(1+'1_Cost_Job'!$B$66))+('1_Cost_Job'!$B$61+'1_Cost_Job'!$B$62*A56+(A56*'1_Cost_Job'!$B$13)*'1_Cost_Job'!$B$14*'1_Cost_Job'!$B$63)+((A56*'1_Cost_Job'!$B$13)*('1_Cost_Job'!$B$14*'1_Cost_Job'!$B$69*'1_Cost_Job'!$B$70+'1_Cost_Job'!$B$71)/60*'1_Cost_Job'!$B$72)))/(($B$5*A56+$B$6*((A56*'1_Cost_Job'!$B$13)*'1_Cost_Job'!$B$15))/'0_README'!$B$7),"0.0%")&amp;"  ·  "&amp;TEXT(((($B$5*A56+$B$6*((A56*'1_Cost_Job'!$B$13)*'1_Cost_Job'!$B$15))/'0_README'!$B$7)-(((A56*'1_Cost_Job'!$B$13)*('1_Cost_Job'!$B$14*'1_Cost_Job'!$B$54+'1_Cost_Job'!$B$55)*(1+'1_Cost_Job'!$B$66))+('1_Cost_Job'!$B$61+'1_Cost_Job'!$B$62*A56+(A56*'1_Cost_Job'!$B$13)*'1_Cost_Job'!$B$14*'1_Cost_Job'!$B$63)+((A56*'1_Cost_Job'!$B$13)*('1_Cost_Job'!$B$14*'1_Cost_Job'!$B$69*'1_Cost_Job'!$B$70+'1_Cost_Job'!$B$71)/60*'1_Cost_Job'!$B$72))-('1_Cost_Job'!$B$75+'1_Cost_Job'!$B$76*A56))/(($B$5*A56+$B$6*((A56*'1_Cost_Job'!$B$13)*'1_Cost_Job'!$B$15))/'0_README'!$B$7),"0.0%")</f>
        <v/>
      </c>
    </row>
    <row r="57">
      <c r="A57" s="31" t="n">
        <v>12</v>
      </c>
      <c r="B57" s="29">
        <f>(((A57*'1_Cost_Job'!$B$13)*('1_Cost_Job'!$B$14*'1_Cost_Job'!$B$54+'1_Cost_Job'!$B$55)*(1+'1_Cost_Job'!$B$66))+('1_Cost_Job'!$B$61+'1_Cost_Job'!$B$62*A57+(A57*'1_Cost_Job'!$B$13)*'1_Cost_Job'!$B$14*'1_Cost_Job'!$B$63)+((A57*'1_Cost_Job'!$B$13)*('1_Cost_Job'!$B$14*'1_Cost_Job'!$B$69*'1_Cost_Job'!$B$70+'1_Cost_Job'!$B$71)/60*'1_Cost_Job'!$B$72))/((A57*'1_Cost_Job'!$B$13)*'1_Cost_Job'!$B$15)*'0_README'!$B$7</f>
        <v/>
      </c>
      <c r="C57" s="29">
        <f>((((A57*'1_Cost_Job'!$B$13)*('1_Cost_Job'!$B$14*'1_Cost_Job'!$B$54+'1_Cost_Job'!$B$55)*(1+'1_Cost_Job'!$B$66))+('1_Cost_Job'!$B$61+'1_Cost_Job'!$B$62*A57+(A57*'1_Cost_Job'!$B$13)*'1_Cost_Job'!$B$14*'1_Cost_Job'!$B$63)+((A57*'1_Cost_Job'!$B$13)*('1_Cost_Job'!$B$14*'1_Cost_Job'!$B$69*'1_Cost_Job'!$B$70+'1_Cost_Job'!$B$71)/60*'1_Cost_Job'!$B$72))+('1_Cost_Job'!$B$75+'1_Cost_Job'!$B$76*A57))/((A57*'1_Cost_Job'!$B$13)*'1_Cost_Job'!$B$15)*'0_README'!$B$7</f>
        <v/>
      </c>
      <c r="E57" s="32">
        <f>TEXT(((($B$5*A57+$B$6*((A57*'1_Cost_Job'!$B$13)*'1_Cost_Job'!$B$15))/'0_README'!$B$7)-(((A57*'1_Cost_Job'!$B$13)*('1_Cost_Job'!$B$14*'1_Cost_Job'!$B$54+'1_Cost_Job'!$B$55)*(1+'1_Cost_Job'!$B$66))+('1_Cost_Job'!$B$61+'1_Cost_Job'!$B$62*A57+(A57*'1_Cost_Job'!$B$13)*'1_Cost_Job'!$B$14*'1_Cost_Job'!$B$63)+((A57*'1_Cost_Job'!$B$13)*('1_Cost_Job'!$B$14*'1_Cost_Job'!$B$69*'1_Cost_Job'!$B$70+'1_Cost_Job'!$B$71)/60*'1_Cost_Job'!$B$72)))/(($B$5*A57+$B$6*((A57*'1_Cost_Job'!$B$13)*'1_Cost_Job'!$B$15))/'0_README'!$B$7),"0.0%")&amp;"  ·  "&amp;TEXT(((($B$5*A57+$B$6*((A57*'1_Cost_Job'!$B$13)*'1_Cost_Job'!$B$15))/'0_README'!$B$7)-(((A57*'1_Cost_Job'!$B$13)*('1_Cost_Job'!$B$14*'1_Cost_Job'!$B$54+'1_Cost_Job'!$B$55)*(1+'1_Cost_Job'!$B$66))+('1_Cost_Job'!$B$61+'1_Cost_Job'!$B$62*A57+(A57*'1_Cost_Job'!$B$13)*'1_Cost_Job'!$B$14*'1_Cost_Job'!$B$63)+((A57*'1_Cost_Job'!$B$13)*('1_Cost_Job'!$B$14*'1_Cost_Job'!$B$69*'1_Cost_Job'!$B$70+'1_Cost_Job'!$B$71)/60*'1_Cost_Job'!$B$72))-('1_Cost_Job'!$B$75+'1_Cost_Job'!$B$76*A57))/(($B$5*A57+$B$6*((A57*'1_Cost_Job'!$B$13)*'1_Cost_Job'!$B$15))/'0_README'!$B$7),"0.0%")</f>
        <v/>
      </c>
    </row>
    <row r="58">
      <c r="A58" s="31" t="n">
        <v>20</v>
      </c>
      <c r="B58" s="29">
        <f>(((A58*'1_Cost_Job'!$B$13)*('1_Cost_Job'!$B$14*'1_Cost_Job'!$B$54+'1_Cost_Job'!$B$55)*(1+'1_Cost_Job'!$B$66))+('1_Cost_Job'!$B$61+'1_Cost_Job'!$B$62*A58+(A58*'1_Cost_Job'!$B$13)*'1_Cost_Job'!$B$14*'1_Cost_Job'!$B$63)+((A58*'1_Cost_Job'!$B$13)*('1_Cost_Job'!$B$14*'1_Cost_Job'!$B$69*'1_Cost_Job'!$B$70+'1_Cost_Job'!$B$71)/60*'1_Cost_Job'!$B$72))/((A58*'1_Cost_Job'!$B$13)*'1_Cost_Job'!$B$15)*'0_README'!$B$7</f>
        <v/>
      </c>
      <c r="C58" s="29">
        <f>((((A58*'1_Cost_Job'!$B$13)*('1_Cost_Job'!$B$14*'1_Cost_Job'!$B$54+'1_Cost_Job'!$B$55)*(1+'1_Cost_Job'!$B$66))+('1_Cost_Job'!$B$61+'1_Cost_Job'!$B$62*A58+(A58*'1_Cost_Job'!$B$13)*'1_Cost_Job'!$B$14*'1_Cost_Job'!$B$63)+((A58*'1_Cost_Job'!$B$13)*('1_Cost_Job'!$B$14*'1_Cost_Job'!$B$69*'1_Cost_Job'!$B$70+'1_Cost_Job'!$B$71)/60*'1_Cost_Job'!$B$72))+('1_Cost_Job'!$B$75+'1_Cost_Job'!$B$76*A58))/((A58*'1_Cost_Job'!$B$13)*'1_Cost_Job'!$B$15)*'0_README'!$B$7</f>
        <v/>
      </c>
      <c r="E58" s="32">
        <f>TEXT(((($B$5*A58+$B$6*((A58*'1_Cost_Job'!$B$13)*'1_Cost_Job'!$B$15))/'0_README'!$B$7)-(((A58*'1_Cost_Job'!$B$13)*('1_Cost_Job'!$B$14*'1_Cost_Job'!$B$54+'1_Cost_Job'!$B$55)*(1+'1_Cost_Job'!$B$66))+('1_Cost_Job'!$B$61+'1_Cost_Job'!$B$62*A58+(A58*'1_Cost_Job'!$B$13)*'1_Cost_Job'!$B$14*'1_Cost_Job'!$B$63)+((A58*'1_Cost_Job'!$B$13)*('1_Cost_Job'!$B$14*'1_Cost_Job'!$B$69*'1_Cost_Job'!$B$70+'1_Cost_Job'!$B$71)/60*'1_Cost_Job'!$B$72)))/(($B$5*A58+$B$6*((A58*'1_Cost_Job'!$B$13)*'1_Cost_Job'!$B$15))/'0_README'!$B$7),"0.0%")&amp;"  ·  "&amp;TEXT(((($B$5*A58+$B$6*((A58*'1_Cost_Job'!$B$13)*'1_Cost_Job'!$B$15))/'0_README'!$B$7)-(((A58*'1_Cost_Job'!$B$13)*('1_Cost_Job'!$B$14*'1_Cost_Job'!$B$54+'1_Cost_Job'!$B$55)*(1+'1_Cost_Job'!$B$66))+('1_Cost_Job'!$B$61+'1_Cost_Job'!$B$62*A58+(A58*'1_Cost_Job'!$B$13)*'1_Cost_Job'!$B$14*'1_Cost_Job'!$B$63)+((A58*'1_Cost_Job'!$B$13)*('1_Cost_Job'!$B$14*'1_Cost_Job'!$B$69*'1_Cost_Job'!$B$70+'1_Cost_Job'!$B$71)/60*'1_Cost_Job'!$B$72))-('1_Cost_Job'!$B$75+'1_Cost_Job'!$B$76*A58))/(($B$5*A58+$B$6*((A58*'1_Cost_Job'!$B$13)*'1_Cost_Job'!$B$15))/'0_README'!$B$7),"0.0%")</f>
        <v/>
      </c>
    </row>
    <row r="60">
      <c r="A60" s="26" t="inlineStr">
        <is>
          <t>KỊCH BẢN GIÁ &amp; CHI PHÍ</t>
        </is>
      </c>
    </row>
    <row r="61" ht="30" customHeight="1">
      <c r="A61" s="4" t="inlineStr">
        <is>
          <t>GM nếu giá LLM tăng ×2 (đổi model / hết ưu đãi)</t>
        </is>
      </c>
      <c r="B61" s="18">
        <f>($B$10-('1_Cost_Job'!$B$83+'1_Cost_Job'!$B$79+'1_Cost_Job'!$B$80)*'0_README'!$B$7)/$B$10</f>
        <v/>
      </c>
      <c r="C61" t="inlineStr">
        <is>
          <t>tỷ lệ</t>
        </is>
      </c>
      <c r="E61" s="6" t="inlineStr">
        <is>
          <t>Giá Gemini kiểm tra 08/10/2026 là giá list; model vẫn có thể bị đổi/ngừng.</t>
        </is>
      </c>
    </row>
    <row r="62">
      <c r="A62" s="4" t="inlineStr">
        <is>
          <t>GM nếu dùng Batch (−50% LLM)</t>
        </is>
      </c>
      <c r="B62" s="18">
        <f>($B$10-('1_Cost_Job'!$B$83-0.5*('1_Cost_Job'!$B$79+'1_Cost_Job'!$B$80))*'0_README'!$B$7)/$B$10</f>
        <v/>
      </c>
      <c r="C62" t="inlineStr">
        <is>
          <t>tỷ lệ</t>
        </is>
      </c>
      <c r="E62" s="6" t="inlineStr">
        <is>
          <t>Hợp lệ khi use_batch=0 trong base case.</t>
        </is>
      </c>
    </row>
    <row r="64">
      <c r="A64" s="26" t="inlineStr">
        <is>
          <t>ĐẢO ĐỘ NHẠY: sai 2× thì GM còn bao nhiêu? (tìm 'con số giết mô hình')</t>
        </is>
      </c>
    </row>
    <row r="65">
      <c r="A65" t="inlineStr">
        <is>
          <t>Giá/shortlist giảm một nửa</t>
        </is>
      </c>
      <c r="B65" s="33">
        <f>(($B$5*'1_Cost_Job'!$B$12+0.5*$B$6*'1_Cost_Job'!$B$17)-$B$13)/($B$5*'1_Cost_Job'!$B$12+0.5*$B$6*'1_Cost_Job'!$B$17)</f>
        <v/>
      </c>
    </row>
    <row r="66">
      <c r="A66" t="inlineStr">
        <is>
          <t>Containment giảm một nửa</t>
        </is>
      </c>
      <c r="B66" s="33">
        <f>(($B$5*'1_Cost_Job'!$B$12+$B$6*0.5*'1_Cost_Job'!$B$17)-$B$13)/($B$5*'1_Cost_Job'!$B$12+$B$6*0.5*'1_Cost_Job'!$B$17)</f>
        <v/>
      </c>
    </row>
    <row r="67">
      <c r="A67" t="inlineStr">
        <is>
          <t>Chi phí HITL/QA ×2</t>
        </is>
      </c>
      <c r="B67" s="33">
        <f>($B$10-$B$13-'1_Cost_Job'!$B$82*'0_README'!$B$7)/$B$10</f>
        <v/>
      </c>
    </row>
    <row r="68">
      <c r="A68" t="inlineStr">
        <is>
          <t>Infra ×2</t>
        </is>
      </c>
      <c r="B68" s="33">
        <f>($B$10-$B$13-'1_Cost_Job'!$B$81*'0_README'!$B$7)/$B$10</f>
        <v/>
      </c>
    </row>
    <row r="69">
      <c r="A69" t="inlineStr">
        <is>
          <t>LLM + retry ×2</t>
        </is>
      </c>
      <c r="B69" s="33">
        <f>($B$10-$B$13-('1_Cost_Job'!$B$79+'1_Cost_Job'!$B$80)*'0_README'!$B$7)/$B$10</f>
        <v/>
      </c>
    </row>
    <row r="70">
      <c r="A70" t="inlineStr">
        <is>
          <t>Số CV / requisition ×2</t>
        </is>
      </c>
      <c r="B70" s="33">
        <f>($B$10-$B$13-('1_Cost_Job'!$B$79+'1_Cost_Job'!$B$80+'1_Cost_Job'!$B$16*'1_Cost_Job'!$B$14*'1_Cost_Job'!$B$63+'1_Cost_Job'!$B$16*'1_Cost_Job'!$B$14*'1_Cost_Job'!$B$69*'1_Cost_Job'!$B$70/60*'1_Cost_Job'!$B$72)*'0_README'!$B$7)/$B$10</f>
        <v/>
      </c>
    </row>
    <row r="71" ht="30" customHeight="1">
      <c r="A71" s="4" t="inlineStr">
        <is>
          <t>GM thấp nhất sau khi sai 2×</t>
        </is>
      </c>
      <c r="B71" s="18">
        <f>MIN(B65:B70)</f>
        <v/>
      </c>
      <c r="C71" t="inlineStr">
        <is>
          <t>tỷ lệ</t>
        </is>
      </c>
      <c r="E71" s="6" t="inlineStr">
        <is>
          <t>Biến số làm GM rơi dưới 60% = nguy hiểm nhất. Cả GIÁ (willingness-to-pay) và CONTAINMENT đều CHƯA đo.</t>
        </is>
      </c>
    </row>
    <row r="72">
      <c r="A72" s="4" t="inlineStr">
        <is>
          <t>Biến số nguy hiểm nhất</t>
        </is>
      </c>
      <c r="B72" s="25">
        <f>INDEX(A65:A70,MATCH($B$71,B65:B70,0))</f>
        <v/>
      </c>
      <c r="C72" t="inlineStr"/>
      <c r="E72" s="6" t="inlineStr"/>
    </row>
  </sheetData>
  <conditionalFormatting sqref="B15">
    <cfRule type="cellIs" priority="1" operator="greaterThanOrEqual" dxfId="0">
      <formula>0.6</formula>
    </cfRule>
    <cfRule type="cellIs" priority="2" operator="lessThan" dxfId="1">
      <formula>0.6</formula>
    </cfRule>
  </conditionalFormatting>
  <conditionalFormatting sqref="B16">
    <cfRule type="cellIs" priority="3" operator="lessThan" dxfId="1">
      <formula>0.6</formula>
    </cfRule>
  </conditionalFormatting>
  <conditionalFormatting sqref="E46:E50">
    <cfRule type="cellIs" priority="4" operator="lessThan" dxfId="1">
      <formula>0.6</formula>
    </cfRule>
    <cfRule type="cellIs" priority="5" operator="greaterThanOrEqual" dxfId="0">
      <formula>0.6</formula>
    </cfRule>
  </conditionalFormatting>
  <conditionalFormatting sqref="B65:B70">
    <cfRule type="cellIs" priority="6" operator="lessThan" dxfId="1">
      <formula>0.6</formula>
    </cfRule>
    <cfRule type="cellIs" priority="7" operator="greaterThanOrEqual" dxfId="0">
      <formula>0.6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4" customWidth="1" min="4" max="4"/>
    <col width="70" customWidth="1" min="5" max="5"/>
  </cols>
  <sheetData>
    <row r="1">
      <c r="A1" s="1" t="inlineStr">
        <is>
          <t>3 • VALUE METRIC — ATTRIBUTION × AUTONOMY</t>
        </is>
      </c>
      <c r="B1" s="2" t="n"/>
      <c r="C1" s="2" t="n"/>
      <c r="D1" s="2" t="n"/>
      <c r="E1" s="2" t="n"/>
    </row>
    <row r="2">
      <c r="A2" s="3" t="inlineStr">
        <is>
          <t>Chấm theo THỰC TẾ HÔM NAY (1 = hoàn toàn không, 5 = hoàn toàn có). Không chấm theo kế hoạch quý sau.</t>
        </is>
      </c>
    </row>
    <row r="4">
      <c r="A4" s="8" t="inlineStr">
        <is>
          <t>ATTRIBUTION — đo được rằng kết quả do AI tạo ra?</t>
        </is>
      </c>
      <c r="B4" s="9" t="n"/>
      <c r="C4" s="9" t="n"/>
      <c r="D4" s="9" t="n"/>
      <c r="E4" s="9" t="n"/>
    </row>
    <row r="5">
      <c r="A5" s="4" t="inlineStr">
        <is>
          <t>Job có ID duy nhất và status ghi tự động?</t>
        </is>
      </c>
      <c r="B5" s="34" t="n">
        <v>5</v>
      </c>
      <c r="E5" s="6" t="inlineStr">
        <is>
          <t>Thiết kế: SHORTLIST_ACCEPTED + requisition_id.</t>
        </is>
      </c>
    </row>
    <row r="6">
      <c r="A6" s="4" t="inlineStr">
        <is>
          <t>Có audit trail (model, rubric, version, trích dẫn) cho mỗi shortlist?</t>
        </is>
      </c>
      <c r="B6" s="34" t="n">
        <v>4</v>
      </c>
      <c r="E6" s="6" t="inlineStr">
        <is>
          <t>Thiết kế sẵn; chưa triển khai production.</t>
        </is>
      </c>
    </row>
    <row r="7">
      <c r="A7" s="4" t="inlineStr">
        <is>
          <t>Có eval/ground truth so với recruiter?</t>
        </is>
      </c>
      <c r="B7" s="34" t="n">
        <v>2</v>
      </c>
      <c r="E7" s="6" t="inlineStr">
        <is>
          <t>CHƯA có bộ eval thật — điểm thấp, trung thực.</t>
        </is>
      </c>
    </row>
    <row r="8">
      <c r="A8" s="4" t="inlineStr">
        <is>
          <t>Khách tự kiểm chứng được job (xem trích dẫn gốc)?</t>
        </is>
      </c>
      <c r="B8" s="34" t="n">
        <v>4</v>
      </c>
      <c r="E8" s="6" t="inlineStr">
        <is>
          <t>Mỗi điểm có trích dẫn nguyên văn từ CV.</t>
        </is>
      </c>
    </row>
    <row r="9">
      <c r="A9" s="4" t="inlineStr">
        <is>
          <t>Ít rủi ro tranh chấp định nghĩa job?</t>
        </is>
      </c>
      <c r="B9" s="34" t="n">
        <v>3</v>
      </c>
      <c r="E9" s="6" t="inlineStr">
        <is>
          <t>Còn rủi ro: recruiter không bấm chốt (đã thêm quy tắc mở ≥3 hồ sơ).</t>
        </is>
      </c>
    </row>
    <row r="10">
      <c r="A10" s="4" t="inlineStr">
        <is>
          <t>Attribution (tổng /25)</t>
        </is>
      </c>
      <c r="B10" s="35">
        <f>SUM(B5:B9)</f>
        <v/>
      </c>
      <c r="C10" t="inlineStr">
        <is>
          <t>/25</t>
        </is>
      </c>
      <c r="E10" s="6" t="inlineStr">
        <is>
          <t>≥15 = cao.</t>
        </is>
      </c>
    </row>
    <row r="12">
      <c r="A12" s="8" t="inlineStr">
        <is>
          <t>AUTONOMY — AI tự chạy tới kết quả mà không cần người?</t>
        </is>
      </c>
      <c r="B12" s="9" t="n"/>
      <c r="C12" s="9" t="n"/>
      <c r="D12" s="9" t="n"/>
      <c r="E12" s="9" t="n"/>
    </row>
    <row r="13">
      <c r="A13" s="4" t="inlineStr">
        <is>
          <t>AI hoàn tất job không cần người xác nhận?</t>
        </is>
      </c>
      <c r="B13" s="34" t="n">
        <v>2</v>
      </c>
      <c r="E13" s="6" t="inlineStr">
        <is>
          <t>Cần recruiter chốt shortlist.</t>
        </is>
      </c>
    </row>
    <row r="14">
      <c r="A14" s="4" t="inlineStr">
        <is>
          <t>AI tự quyết định loại/tuyển ứng viên?</t>
        </is>
      </c>
      <c r="B14" s="34" t="n">
        <v>1</v>
      </c>
      <c r="E14" s="6" t="inlineStr">
        <is>
          <t>CẤM theo thiết kế (rủi ro thiên lệch, Lab 21).</t>
        </is>
      </c>
    </row>
    <row r="15">
      <c r="A15" s="4" t="inlineStr">
        <is>
          <t>Tỷ lệ job hoàn tất không cần can thiệp ngoài thao tác chốt?</t>
        </is>
      </c>
      <c r="B15" s="34" t="n">
        <v>3</v>
      </c>
      <c r="E15" s="6" t="inlineStr">
        <is>
          <t>Chưa đo; ước tính ~80%.</t>
        </is>
      </c>
    </row>
    <row r="16">
      <c r="A16" s="4" t="inlineStr">
        <is>
          <t>Chạy liên tục không cần người kích hoạt?</t>
        </is>
      </c>
      <c r="B16" s="34" t="n">
        <v>3</v>
      </c>
      <c r="E16" s="6" t="inlineStr">
        <is>
          <t>Chạy khi có CV mới, nhưng JD/rubric do người duyệt.</t>
        </is>
      </c>
    </row>
    <row r="17">
      <c r="A17" s="4" t="inlineStr">
        <is>
          <t>Tự xử lý ngoại lệ (CV lỗi, timeout)?</t>
        </is>
      </c>
      <c r="B17" s="34" t="n">
        <v>3</v>
      </c>
      <c r="E17" s="6" t="inlineStr">
        <is>
          <t>Retry + hàng đợi lỗi; ca khó chuyển cho recruiter.</t>
        </is>
      </c>
    </row>
    <row r="18">
      <c r="A18" s="4" t="inlineStr">
        <is>
          <t>Autonomy (tổng /25)</t>
        </is>
      </c>
      <c r="B18" s="35">
        <f>SUM(B13:B17)</f>
        <v/>
      </c>
      <c r="C18" t="inlineStr">
        <is>
          <t>/25</t>
        </is>
      </c>
      <c r="E18" s="6" t="inlineStr">
        <is>
          <t>≥15 = cao.</t>
        </is>
      </c>
    </row>
    <row r="20">
      <c r="A20" s="4" t="inlineStr">
        <is>
          <t>Gợi ý của ma trận</t>
        </is>
      </c>
      <c r="B20" s="25">
        <f>IF(AND($B$10&gt;=15,$B$18&gt;=15),"Outcome",IF($B$10&gt;=15,"Usage",IF($B$18&gt;=15,"Usage","Seat / Hybrid")))</f>
        <v/>
      </c>
      <c r="C20" t="inlineStr"/>
      <c r="E20" s="6" t="inlineStr">
        <is>
          <t>Attribution cao + Autonomy thấp → Usage.</t>
        </is>
      </c>
    </row>
    <row r="21" ht="35" customHeight="1">
      <c r="A21" s="4" t="inlineStr">
        <is>
          <t>Value Metric đã chốt</t>
        </is>
      </c>
      <c r="B21" s="5" t="inlineStr">
        <is>
          <t>HYBRID: 500.000 ₫/khách/tháng + 800.000 ₫/shortlist hoàn tất</t>
        </is>
      </c>
      <c r="E21" s="6" t="inlineStr">
        <is>
          <t>Khác gợi ý Usage thuần ở chỗ có thêm phí nền (lý do thị trường bên dưới).</t>
        </is>
      </c>
    </row>
    <row r="22" ht="200" customHeight="1">
      <c r="A22" s="4" t="inlineStr">
        <is>
          <t>Decision Note (3 câu)</t>
        </is>
      </c>
      <c r="B22" s="5" t="inlineStr">
        <is>
          <t>1) Tôi chọn Hybrid: phí nền theo khách + phí theo shortlist hoàn tất (SHORTLIST_ACCEPTED). 2) Attribution ở mức cao (18/25: ID duy nhất, audit trail, trích dẫn kiểm chứng được) nhưng Autonomy thấp (12/25: AI không được tự loại ứng viên, recruiter luôn chốt) và CHƯA có eval → vì vậy KHÔNG chọn Outcome (per-hire) mà dùng đơn vị usage gắn với kết quả đo được. 3) Tôi lệch khỏi gợi ý Usage thuần vì thị trường SME Việt Nam: các ATS bán cho SME đều tính phí nền theo công ty hoặc theo ghế (Workable 299 USD/tháng/công ty; Manatal 15–55 USD/ghế/tháng), khách quen ngân sách cố định và chưa quen trả theo kết quả; phí nền cũng chi trả chi phí cố định (infra + QA) khi doanh thu theo job còn nhỏ.</t>
        </is>
      </c>
      <c r="E22" s="6" t="inlineStr">
        <is>
          <t>Lý do thị trường hợp lệ, không phải 'thấy hợp hơn'. Giả thuyết cần kiểm bằng phỏng vấn tháng 1.</t>
        </is>
      </c>
    </row>
    <row r="23" ht="80" customHeight="1">
      <c r="A23" s="4" t="inlineStr">
        <is>
          <t>Chống tính tiền hai lần / gian lận</t>
        </is>
      </c>
      <c r="B23" s="5" t="inlineStr">
        <is>
          <t>Mỗi requisition_id chỉ tính 1 lần; sửa JD làm đổi &gt;30% rubric mới mở job mới; giới hạn 500 CV/requisition, vượt thì 1.500 ₫/CV; theo dõi tỷ lệ requisition bị hủy sau khi có shortlist (nghi ngờ né phí).</t>
        </is>
      </c>
      <c r="E23" s="6" t="inlineStr">
        <is>
          <t>Rủi ro khách 'né phí' bằng cách không chốt/hủy → đã thêm quy tắc auto-confirm khi xem ≥3 hồ sơ.</t>
        </is>
      </c>
    </row>
    <row r="25">
      <c r="A25" s="8" t="inlineStr">
        <is>
          <t>BENCHMARK NGƯỢC — 3 SẢN PHẨM THẬT (kiểm tra 08/10/2026)</t>
        </is>
      </c>
      <c r="B25" s="9" t="n"/>
      <c r="C25" s="9" t="n"/>
      <c r="D25" s="9" t="n"/>
      <c r="E25" s="9" t="n"/>
    </row>
    <row r="26" ht="60" customHeight="1">
      <c r="A26" s="4" t="inlineStr">
        <is>
          <t>1. Workable (AI screening)</t>
        </is>
      </c>
      <c r="B26" s="25" t="inlineStr">
        <is>
          <t>Standard 299 USD/tháng/công ty. AI Agent tính credit: 1 credit / lần sàng lọc ứng viên; gói bổ sung 5.000 credit = 600 USD → 0,12 USD/credit ≈ 0,12 USD/CV.</t>
        </is>
      </c>
      <c r="E26" s="6" t="inlineStr">
        <is>
          <t>https://www.workable.com/pricing</t>
        </is>
      </c>
    </row>
    <row r="27" ht="45" customHeight="1">
      <c r="A27" s="4" t="inlineStr">
        <is>
          <t>2. Manatal (ATS + AI recommendation)</t>
        </is>
      </c>
      <c r="B27" s="25" t="inlineStr">
        <is>
          <t>Tính theo ghế: Professional 15 USD/user/tháng (trả theo năm), Enterprise 35, Enterprise Plus 55; AI recommendation có trong mọi gói.</t>
        </is>
      </c>
      <c r="E27" s="6" t="inlineStr">
        <is>
          <t>https://www.manatal.com/pricing</t>
        </is>
      </c>
    </row>
    <row r="28" ht="60" customHeight="1">
      <c r="A28" s="4" t="inlineStr">
        <is>
          <t>3. Intercom Fin (tham chiếu Outcome)</t>
        </is>
      </c>
      <c r="B28" s="25" t="inlineStr">
        <is>
          <t>0,99 USD/outcome; resolution = 'No further help is requested after Fin's last answer'; tối thiểu 50 outcome/tháng. Outcome chỉ hợp khi AI tự chạy (autonomy cao) — khác SàngCV.</t>
        </is>
      </c>
      <c r="E28" s="6" t="inlineStr">
        <is>
          <t>https://fin.ai/pricing/</t>
        </is>
      </c>
    </row>
    <row r="29">
      <c r="A29" s="4" t="inlineStr">
        <is>
          <t>Giá hiệu dụng của SàngCV / CV xử lý</t>
        </is>
      </c>
      <c r="B29" s="17">
        <f>'2_Pricing'!$B$11/('1_Cost_Job'!$B$16*'1_Cost_Job'!$B$14)</f>
        <v/>
      </c>
      <c r="C29" t="inlineStr">
        <is>
          <t>USD/CV</t>
        </is>
      </c>
      <c r="E29" s="6" t="inlineStr">
        <is>
          <t>So với Workable 0,12 USD/CV.</t>
        </is>
      </c>
    </row>
  </sheetData>
  <mergeCells count="6">
    <mergeCell ref="B28:D28"/>
    <mergeCell ref="B23:D23"/>
    <mergeCell ref="B22:D22"/>
    <mergeCell ref="B26:D26"/>
    <mergeCell ref="B27:D27"/>
    <mergeCell ref="B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4" customWidth="1" min="4" max="4"/>
    <col width="70" customWidth="1" min="5" max="5"/>
  </cols>
  <sheetData>
    <row r="1">
      <c r="A1" s="1" t="inlineStr">
        <is>
          <t>4 • CHANNEL FIT — KÊNH DUY NHẤT CHO 90 NGÀY ĐẦU</t>
        </is>
      </c>
      <c r="B1" s="2" t="n"/>
      <c r="C1" s="2" t="n"/>
      <c r="D1" s="2" t="n"/>
      <c r="E1" s="2" t="n"/>
    </row>
    <row r="2">
      <c r="A2" s="3" t="inlineStr">
        <is>
          <t>Pain Moment quyết định kênh; kênh phải nuôi nổi bằng số học (Affordability Test).</t>
        </is>
      </c>
    </row>
    <row r="4">
      <c r="A4" s="8" t="inlineStr">
        <is>
          <t>AFFORDABILITY TEST</t>
        </is>
      </c>
      <c r="B4" s="9" t="n"/>
      <c r="C4" s="9" t="n"/>
      <c r="D4" s="9" t="n"/>
      <c r="E4" s="9" t="n"/>
    </row>
    <row r="5">
      <c r="A5" s="4" t="inlineStr">
        <is>
          <t>Phân khúc</t>
        </is>
      </c>
      <c r="B5" s="5" t="inlineStr">
        <is>
          <t>SMB</t>
        </is>
      </c>
      <c r="C5" t="inlineStr"/>
      <c r="E5" s="6" t="inlineStr">
        <is>
          <t>SME 50–300 nhân sự → CAC payback &lt; 12 tháng.</t>
        </is>
      </c>
    </row>
    <row r="6">
      <c r="A6" s="4" t="inlineStr">
        <is>
          <t>CAC payback cho phép</t>
        </is>
      </c>
      <c r="B6" s="13" t="n">
        <v>12</v>
      </c>
      <c r="C6" t="inlineStr">
        <is>
          <t>tháng</t>
        </is>
      </c>
      <c r="E6" s="6" t="inlineStr">
        <is>
          <t>SMB &lt;12 · Mid-market &lt;18 · Enterprise &lt;24 (theo HUONG_DAN_LAB).</t>
        </is>
      </c>
    </row>
    <row r="7">
      <c r="A7" s="4" t="inlineStr">
        <is>
          <t>ARPU / khách / tháng</t>
        </is>
      </c>
      <c r="B7" s="22">
        <f>'2_Pricing'!$B$11/'1_Cost_Job'!$B$12</f>
        <v/>
      </c>
      <c r="C7" t="inlineStr">
        <is>
          <t>USD</t>
        </is>
      </c>
      <c r="E7" s="6" t="inlineStr">
        <is>
          <t>Gồm phí nền + phí shortlist.</t>
        </is>
      </c>
    </row>
    <row r="8">
      <c r="A8" s="4" t="inlineStr">
        <is>
          <t>NGÂN SÁCH CAC / khách</t>
        </is>
      </c>
      <c r="B8" s="22">
        <f>$B$7*'2_Pricing'!$B$15*$B$6</f>
        <v/>
      </c>
      <c r="C8" t="inlineStr">
        <is>
          <t>USD</t>
        </is>
      </c>
      <c r="E8" s="6" t="inlineStr">
        <is>
          <t>Công thức: ARPU × GM × số tháng payback.</t>
        </is>
      </c>
    </row>
    <row r="10">
      <c r="A10" s="8" t="inlineStr">
        <is>
          <t>CÔNG CỤ 1 — NGƯỠNG SÀN INSIDE SALES (Tunguz)</t>
        </is>
      </c>
      <c r="B10" s="9" t="n"/>
      <c r="C10" s="9" t="n"/>
      <c r="D10" s="9" t="n"/>
      <c r="E10" s="9" t="n"/>
    </row>
    <row r="11">
      <c r="A11" s="4" t="inlineStr">
        <is>
          <t>ACV (ARPU × 12)</t>
        </is>
      </c>
      <c r="B11" s="22">
        <f>$B$7*12</f>
        <v/>
      </c>
      <c r="C11" t="inlineStr">
        <is>
          <t>USD</t>
        </is>
      </c>
      <c r="E11" s="6" t="inlineStr"/>
    </row>
    <row r="12">
      <c r="A12" s="4" t="inlineStr">
        <is>
          <t>Quota AE / năm</t>
        </is>
      </c>
      <c r="B12" s="7" t="n">
        <v>200000</v>
      </c>
      <c r="C12" t="inlineStr">
        <is>
          <t>USD</t>
        </is>
      </c>
      <c r="E12" s="6" t="inlineStr">
        <is>
          <t>Giả định quota inside-sales SMB.</t>
        </is>
      </c>
    </row>
    <row r="13">
      <c r="A13" s="4" t="inlineStr">
        <is>
          <t>Số deal AE phải chốt / năm</t>
        </is>
      </c>
      <c r="B13" s="35">
        <f>$B$12/$B$11</f>
        <v/>
      </c>
      <c r="C13" t="inlineStr">
        <is>
          <t>deal</t>
        </is>
      </c>
      <c r="E13" s="6" t="inlineStr"/>
    </row>
    <row r="14">
      <c r="A14" s="4" t="inlineStr">
        <is>
          <t>Ngày làm việc / năm</t>
        </is>
      </c>
      <c r="B14" s="13" t="n">
        <v>240</v>
      </c>
      <c r="C14" t="inlineStr">
        <is>
          <t>ngày</t>
        </is>
      </c>
      <c r="E14" s="6" t="inlineStr"/>
    </row>
    <row r="15">
      <c r="A15" s="4" t="inlineStr">
        <is>
          <t>Số deal / AE / ngày</t>
        </is>
      </c>
      <c r="B15" s="36">
        <f>$B$13/$B$14</f>
        <v/>
      </c>
      <c r="C15" t="inlineStr">
        <is>
          <t>deal/ngày</t>
        </is>
      </c>
      <c r="E15" s="6" t="inlineStr">
        <is>
          <t>≤~1 → khả thi về số học; &gt;1 → không chạy được.</t>
        </is>
      </c>
    </row>
    <row r="16">
      <c r="A16" s="4" t="inlineStr">
        <is>
          <t>Kết luận số học</t>
        </is>
      </c>
      <c r="B16" s="25">
        <f>IF($B$15&lt;=1,"Khả thi về số học — nhưng xem CAC bên dưới","KHÔNG CHẠY ĐƯỢC")</f>
        <v/>
      </c>
      <c r="C16" t="inlineStr"/>
      <c r="E16" s="6" t="inlineStr"/>
    </row>
    <row r="18">
      <c r="A18" s="8" t="inlineStr">
        <is>
          <t>CÔNG CỤ 3 — CAC THỰC TẾ SALES-LED (ICONIQ 2026)</t>
        </is>
      </c>
      <c r="B18" s="9" t="n"/>
      <c r="C18" s="9" t="n"/>
      <c r="D18" s="9" t="n"/>
      <c r="E18" s="9" t="n"/>
    </row>
    <row r="19" ht="30" customHeight="1">
      <c r="A19" s="4" t="inlineStr">
        <is>
          <t>Cost per opportunity (SMB)</t>
        </is>
      </c>
      <c r="B19" s="7" t="n">
        <v>6300</v>
      </c>
      <c r="C19" t="inlineStr">
        <is>
          <t>USD</t>
        </is>
      </c>
      <c r="E19" s="6" t="inlineStr">
        <is>
          <t>Theo HUONG_DAN_LAB: 6.300 · 8.000 · 11.200 USD theo phân khúc (giả định thứ tự SMB·Mid·Ent). Chưa tra lại nguồn gốc ICONIQ.</t>
        </is>
      </c>
    </row>
    <row r="20">
      <c r="A20" s="4" t="inlineStr">
        <is>
          <t>Win rate giả định</t>
        </is>
      </c>
      <c r="B20" s="14" t="n">
        <v>0.2</v>
      </c>
      <c r="C20" t="inlineStr">
        <is>
          <t>tỷ lệ</t>
        </is>
      </c>
      <c r="E20" s="6" t="inlineStr">
        <is>
          <t>Giả định.</t>
        </is>
      </c>
    </row>
    <row r="21">
      <c r="A21" s="4" t="inlineStr">
        <is>
          <t>CAC thực tế Sales-Led ≈ CPO / win rate</t>
        </is>
      </c>
      <c r="B21" s="37">
        <f>$B$19/$B$20</f>
        <v/>
      </c>
      <c r="C21" t="inlineStr">
        <is>
          <t>USD</t>
        </is>
      </c>
      <c r="E21" s="6" t="inlineStr"/>
    </row>
    <row r="22">
      <c r="A22" s="4" t="inlineStr">
        <is>
          <t>Lệch so với ngân sách CAC</t>
        </is>
      </c>
      <c r="B22" s="38">
        <f>$B$21/$B$8</f>
        <v/>
      </c>
      <c r="C22" t="inlineStr">
        <is>
          <t>lần</t>
        </is>
      </c>
      <c r="E22" s="6" t="inlineStr">
        <is>
          <t>→ Sales-Led full-cycle KHÔNG nuôi nổi.</t>
        </is>
      </c>
    </row>
    <row r="24">
      <c r="A24" s="8" t="inlineStr">
        <is>
          <t>CAC ƯỚC TÍNH CỦA PLG (giả thuyết cần kiểm trong tháng 2–3)</t>
        </is>
      </c>
      <c r="B24" s="9" t="n"/>
      <c r="C24" s="9" t="n"/>
      <c r="D24" s="9" t="n"/>
      <c r="E24" s="9" t="n"/>
    </row>
    <row r="25">
      <c r="A25" s="4" t="inlineStr">
        <is>
          <t>Chi phí / lượt đăng ký dùng thử</t>
        </is>
      </c>
      <c r="B25" s="20" t="n">
        <v>12</v>
      </c>
      <c r="C25" t="inlineStr">
        <is>
          <t>USD</t>
        </is>
      </c>
      <c r="E25" s="6" t="inlineStr">
        <is>
          <t>GIẢ ĐỊNH (quảng cáo cho HR SME). Chưa thử.</t>
        </is>
      </c>
    </row>
    <row r="26">
      <c r="A26" s="4" t="inlineStr">
        <is>
          <t>Tỷ lệ đăng ký → trả tiền</t>
        </is>
      </c>
      <c r="B26" s="14" t="n">
        <v>0.06</v>
      </c>
      <c r="C26" t="inlineStr">
        <is>
          <t>tỷ lệ</t>
        </is>
      </c>
      <c r="E26" s="6" t="inlineStr">
        <is>
          <t>GIẢ ĐỊNH. Điều kiện hủy kênh: &lt;3%.</t>
        </is>
      </c>
    </row>
    <row r="27">
      <c r="A27" s="4" t="inlineStr">
        <is>
          <t>CAC PLG ước tính</t>
        </is>
      </c>
      <c r="B27" s="37">
        <f>$B$25/$B$26</f>
        <v/>
      </c>
      <c r="C27" t="inlineStr">
        <is>
          <t>USD</t>
        </is>
      </c>
      <c r="E27" s="6" t="inlineStr"/>
    </row>
    <row r="28">
      <c r="A28" s="4" t="inlineStr">
        <is>
          <t>CAC PLG / ngân sách CAC</t>
        </is>
      </c>
      <c r="B28" s="39">
        <f>$B$27/$B$8</f>
        <v/>
      </c>
      <c r="C28" t="inlineStr">
        <is>
          <t>lần</t>
        </is>
      </c>
      <c r="E28" s="6" t="inlineStr">
        <is>
          <t>&lt;1 = nuôi nổi (nếu giả định đúng).</t>
        </is>
      </c>
    </row>
    <row r="30">
      <c r="A30" s="8" t="inlineStr">
        <is>
          <t>SCORECARD 3 KÊNH (6 tiêu chí × 1–5)</t>
        </is>
      </c>
      <c r="B30" s="9" t="n"/>
      <c r="C30" s="9" t="n"/>
      <c r="D30" s="9" t="n"/>
      <c r="E30" s="9" t="n"/>
    </row>
    <row r="31">
      <c r="A31" s="26" t="inlineStr">
        <is>
          <t>Tiêu chí</t>
        </is>
      </c>
      <c r="B31" s="26" t="inlineStr">
        <is>
          <t>PLG</t>
        </is>
      </c>
      <c r="C31" s="26" t="inlineStr">
        <is>
          <t>Sales-Led</t>
        </is>
      </c>
      <c r="E31" s="26" t="inlineStr">
        <is>
          <t>Partner-Led</t>
        </is>
      </c>
    </row>
    <row r="32">
      <c r="A32" s="4" t="inlineStr">
        <is>
          <t>ARPU phù hợp với cách bán</t>
        </is>
      </c>
      <c r="B32" s="40" t="n">
        <v>4</v>
      </c>
      <c r="C32" s="40" t="n">
        <v>3</v>
      </c>
      <c r="E32" s="40" t="n">
        <v>5</v>
      </c>
    </row>
    <row r="33">
      <c r="A33" s="4" t="inlineStr">
        <is>
          <t>CAC nuôi nổi theo ngân sách</t>
        </is>
      </c>
      <c r="B33" s="40" t="n">
        <v>5</v>
      </c>
      <c r="C33" s="40" t="n">
        <v>1</v>
      </c>
      <c r="E33" s="40" t="n">
        <v>4</v>
      </c>
    </row>
    <row r="34">
      <c r="A34" s="4" t="inlineStr">
        <is>
          <t>Khớp Pain Moment (ngay trong hộp thư/bảng tính)</t>
        </is>
      </c>
      <c r="B34" s="40" t="n">
        <v>5</v>
      </c>
      <c r="C34" s="40" t="n">
        <v>3</v>
      </c>
      <c r="E34" s="40" t="n">
        <v>3</v>
      </c>
    </row>
    <row r="35">
      <c r="A35" s="4" t="inlineStr">
        <is>
          <t>Tốc độ có 5 khách trả tiền đầu tiên</t>
        </is>
      </c>
      <c r="B35" s="40" t="n">
        <v>3</v>
      </c>
      <c r="C35" s="40" t="n">
        <v>4</v>
      </c>
      <c r="E35" s="40" t="n">
        <v>2</v>
      </c>
    </row>
    <row r="36">
      <c r="A36" s="4" t="inlineStr">
        <is>
          <t>Năng lực đội 1–4 người</t>
        </is>
      </c>
      <c r="B36" s="40" t="n">
        <v>4</v>
      </c>
      <c r="C36" s="40" t="n">
        <v>2</v>
      </c>
      <c r="E36" s="40" t="n">
        <v>3</v>
      </c>
    </row>
    <row r="37">
      <c r="A37" s="4" t="inlineStr">
        <is>
          <t>Ít phụ thuộc bên thứ ba</t>
        </is>
      </c>
      <c r="B37" s="40" t="n">
        <v>4</v>
      </c>
      <c r="C37" s="40" t="n">
        <v>5</v>
      </c>
      <c r="E37" s="40" t="n">
        <v>2</v>
      </c>
    </row>
    <row r="38">
      <c r="A38" s="26" t="inlineStr">
        <is>
          <t>TỔNG /30</t>
        </is>
      </c>
      <c r="B38" s="41">
        <f>SUM(B32:B37)</f>
        <v/>
      </c>
      <c r="C38" s="41">
        <f>SUM(C32:C37)</f>
        <v/>
      </c>
      <c r="E38" s="41">
        <f>SUM(E32:E37)</f>
        <v/>
      </c>
    </row>
    <row r="40" ht="30" customHeight="1">
      <c r="A40" s="4" t="inlineStr">
        <is>
          <t>KÊNH ĐÃ CHỐT (chỉ 1)</t>
        </is>
      </c>
      <c r="B40" s="25">
        <f>IF(AND(B38&gt;=C38,B38&gt;=E38),"PLG",IF(C38&gt;=E38,"Sales-Led","Partner-Led"))</f>
        <v/>
      </c>
      <c r="C40" t="inlineStr"/>
      <c r="E40" s="6" t="inlineStr">
        <is>
          <t>Điểm cao nhất. Gắn với số: CAC PLG ước tính thấp hơn ngân sách, Sales-Led lệch gấp nhiều lần.</t>
        </is>
      </c>
    </row>
    <row r="41" ht="75" customHeight="1">
      <c r="A41" s="4" t="inlineStr">
        <is>
          <t>Vì sao không Partner-Led</t>
        </is>
      </c>
      <c r="B41" s="5" t="inlineStr">
        <is>
          <t>Chưa có tên đối tác cụ thể và chưa nói chuyện với ai → theo quy tắc lab 'Partner-Led không có tên công ty thì chưa phải là kênh'. Có thể thăm dò một nền tảng ATS/tuyển dụng nội địa sau tháng 3 (CHƯA liên hệ, chỉ là giả thuyết).</t>
        </is>
      </c>
      <c r="E41" s="6" t="inlineStr">
        <is>
          <t>Không chạy song song nhiều kênh.</t>
        </is>
      </c>
    </row>
    <row r="42" ht="85" customHeight="1">
      <c r="A42" s="4" t="inlineStr">
        <is>
          <t>Rủi ro kênh PLG</t>
        </is>
      </c>
      <c r="B42" s="5" t="inlineStr">
        <is>
          <t>Add-on Gmail đọc thư thuộc nhóm 'restricted scope' của Google → có thể cần xác minh OAuth + đánh giá bảo mật bên thứ ba (chi phí/thời gian CHƯA có báo giá). Giảm thiểu cho MVP: nhận CV qua chuyển tiếp email/thư mục Drive, không đọc cả hộp thư.</t>
        </is>
      </c>
      <c r="E42" s="6" t="inlineStr">
        <is>
          <t>Cần xác minh chính sách hiện hành của Google trước khi cam kết.</t>
        </is>
      </c>
    </row>
    <row r="43" ht="60" customHeight="1">
      <c r="A43" s="4" t="inlineStr">
        <is>
          <t>Pain Moment</t>
        </is>
      </c>
      <c r="B43" s="5" t="inlineStr">
        <is>
          <t>9h sáng thứ Hai, HR executive mở Gmail/Google Sheets sau cuối tuần đăng tin và thấy 200–300 CV mới; đang kéo từng file PDF vào Excel để chấm tay theo JD.</t>
        </is>
      </c>
      <c r="E43" s="6" t="inlineStr">
        <is>
          <t>Đủ 3 phần: mấy giờ + đang làm gì + dùng app nào.</t>
        </is>
      </c>
    </row>
    <row r="44" ht="60" customHeight="1">
      <c r="A44" s="4" t="inlineStr">
        <is>
          <t>Điểm nhúng</t>
        </is>
      </c>
      <c r="B44" s="5" t="inlineStr">
        <is>
          <t>Hộp thư HR (chuyển tiếp CV tới địa chỉ riêng của SàngCV) + Google Sheets add-on trả bảng shortlist ngay trong file họ đang dùng. Không bắt tải app mới.</t>
        </is>
      </c>
      <c r="E44" s="6" t="inlineStr">
        <is>
          <t>Nhúng vào thói quen cũ.</t>
        </is>
      </c>
    </row>
  </sheetData>
  <mergeCells count="4">
    <mergeCell ref="B42:D42"/>
    <mergeCell ref="B41:D41"/>
    <mergeCell ref="B44:D44"/>
    <mergeCell ref="B43:D43"/>
  </mergeCells>
  <conditionalFormatting sqref="B22">
    <cfRule type="cellIs" priority="1" operator="greaterThan" dxfId="1">
      <formula>1</formula>
    </cfRule>
  </conditionalFormatting>
  <conditionalFormatting sqref="B28">
    <cfRule type="cellIs" priority="2" operator="lessThanOrEqual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4" customWidth="1" min="3" max="3"/>
    <col width="14" customWidth="1" min="4" max="4"/>
    <col width="52" customWidth="1" min="5" max="5"/>
  </cols>
  <sheetData>
    <row r="1">
      <c r="A1" s="1" t="inlineStr">
        <is>
          <t>5 • 90-DAY PLAN &amp; EVIDENCE PACK</t>
        </is>
      </c>
      <c r="B1" s="2" t="n"/>
      <c r="C1" s="2" t="n"/>
      <c r="D1" s="2" t="n"/>
      <c r="E1" s="2" t="n"/>
    </row>
    <row r="2">
      <c r="A2" s="3" t="inlineStr">
        <is>
          <t>Mốc ngày là KẾ HOẠCH dự kiến, chưa phải dữ liệu đã thực hiện. Ô nào chưa có đều ghi người phụ trách + deadline.</t>
        </is>
      </c>
    </row>
    <row r="4">
      <c r="A4" s="8" t="inlineStr">
        <is>
          <t>PAIN MOMENT &amp; ĐIỂM NHÚNG</t>
        </is>
      </c>
      <c r="B4" s="9" t="n"/>
      <c r="C4" s="9" t="n"/>
      <c r="D4" s="9" t="n"/>
      <c r="E4" s="9" t="n"/>
    </row>
    <row r="5" ht="35" customHeight="1">
      <c r="A5" s="4" t="inlineStr">
        <is>
          <t>Pain Moment</t>
        </is>
      </c>
      <c r="B5" s="5" t="inlineStr">
        <is>
          <t>9h sáng thứ Hai · HR executive đang chấm tay 200–300 CV sau cuối tuần đăng tin · trong Gmail/Excel</t>
        </is>
      </c>
      <c r="E5" s="6" t="inlineStr">
        <is>
          <t>Công thức 3 phần: mấy giờ + đang làm gì + app nào.</t>
        </is>
      </c>
    </row>
    <row r="6" ht="30" customHeight="1">
      <c r="A6" s="4" t="inlineStr">
        <is>
          <t>Điểm nhúng</t>
        </is>
      </c>
      <c r="B6" s="5" t="inlineStr">
        <is>
          <t>Địa chỉ email chuyển tiếp CV + Google Sheets add-on (kênh PLG).</t>
        </is>
      </c>
      <c r="E6" s="6" t="inlineStr">
        <is>
          <t>Không bắt khách mở tab mới, tải app mới.</t>
        </is>
      </c>
    </row>
    <row r="7" ht="22" customHeight="1">
      <c r="A7" s="4" t="inlineStr">
        <is>
          <t>Kênh (liên kết 4_Channel_Fit)</t>
        </is>
      </c>
      <c r="B7" s="25">
        <f>'4_Channel_Fit'!$B$40</f>
        <v/>
      </c>
      <c r="E7" s="6" t="inlineStr"/>
    </row>
    <row r="9">
      <c r="A9" s="8" t="inlineStr">
        <is>
          <t>KẾ HOẠCH 90 NGÀY (người phụ trách: Nguyễn Văn Sơn)</t>
        </is>
      </c>
      <c r="B9" s="9" t="n"/>
      <c r="C9" s="9" t="n"/>
      <c r="D9" s="9" t="n"/>
      <c r="E9" s="9" t="n"/>
    </row>
    <row r="10">
      <c r="A10" s="8" t="inlineStr">
        <is>
          <t>Giai đoạn</t>
        </is>
      </c>
      <c r="B10" s="8" t="inlineStr">
        <is>
          <t>Mục tiêu &amp; cơ chế</t>
        </is>
      </c>
      <c r="C10" s="8" t="inlineStr">
        <is>
          <t>KPI (số)</t>
        </is>
      </c>
      <c r="D10" s="8" t="inlineStr">
        <is>
          <t>Phụ trách</t>
        </is>
      </c>
      <c r="E10" s="8" t="inlineStr">
        <is>
          <t>Điều kiện dừng / sửa</t>
        </is>
      </c>
    </row>
    <row r="11" ht="100" customHeight="1">
      <c r="A11" s="5" t="inlineStr">
        <is>
          <t>Tháng 1 (11/2026) — Hiểu sâu</t>
        </is>
      </c>
      <c r="B11" s="5" t="inlineStr">
        <is>
          <t>Phỏng vấn 15 HR của SME; time-study 5 HR (phút/CV); làm tận tay 3 pilot miễn phí × 2 requisition; thử 3 mức giá.</t>
        </is>
      </c>
      <c r="C11" s="5" t="inlineStr">
        <is>
          <t>≥15 phỏng vấn; 3 pilot; ≥6 shortlist; đo containment + giá chấp nhận</t>
        </is>
      </c>
      <c r="D11" s="5" t="inlineStr">
        <is>
          <t>Sơn</t>
        </is>
      </c>
      <c r="E11" s="5" t="inlineStr">
        <is>
          <t>Nếu &lt;2/15 HR sẵn sàng trả ≥500k ₫/tháng → đổi mô hình giá/đối tượng.</t>
        </is>
      </c>
    </row>
    <row r="12" ht="100" customHeight="1">
      <c r="A12" s="5" t="inlineStr">
        <is>
          <t>Tháng 2–3 (12/2026–01/2027) — Đòn bẩy qua kênh PLG</t>
        </is>
      </c>
      <c r="B12" s="5" t="inlineStr">
        <is>
          <t>Landing page + nhận CV qua email forward + Sheets add-on; shortlist đầu tiên miễn phí; nhân rộng bằng nội dung &amp; giới thiệu từ pilot.</t>
        </is>
      </c>
      <c r="C12" s="5" t="inlineStr">
        <is>
          <t>≥120 lượt đăng ký dùng thử; activation ≥40%; 8 khách trả tiền (mục tiêu cuối tháng 3)</t>
        </is>
      </c>
      <c r="D12" s="5" t="inlineStr">
        <is>
          <t>Sơn</t>
        </is>
      </c>
      <c r="E12" s="5" t="inlineStr">
        <is>
          <t>Nếu đăng ký→trả tiền &lt;3% sau 60 ngày hoặc CAC PLG &gt; ngân sách CAC → dừng kênh, xét lại.</t>
        </is>
      </c>
    </row>
    <row r="13" ht="100" customHeight="1">
      <c r="A13" s="5" t="inlineStr">
        <is>
          <t>Tháng 4+ (02/2027) — Mở rộng có điều kiện</t>
        </is>
      </c>
      <c r="B13" s="5" t="inlineStr">
        <is>
          <t>Chỉ mở ngách kế tiếp (tuyển dụng hàng loạt: bán lẻ/F&amp;B) khi thắng tuyệt đối ngách SME văn phòng; sau đó mới thăm dò đối tác ATS.</t>
        </is>
      </c>
      <c r="C13" s="5" t="inlineStr">
        <is>
          <t>Containment ≥ ngưỡng breakeven; ≥8 khách; GM ≥60% đo thật</t>
        </is>
      </c>
      <c r="D13" s="5" t="inlineStr">
        <is>
          <t>Sơn</t>
        </is>
      </c>
      <c r="E13" s="5" t="inlineStr">
        <is>
          <t>Không mở rộng nếu eval chưa đạt.</t>
        </is>
      </c>
    </row>
    <row r="15">
      <c r="A15" s="8" t="inlineStr">
        <is>
          <t>EVIDENCE PACK</t>
        </is>
      </c>
      <c r="B15" s="9" t="n"/>
      <c r="C15" s="9" t="n"/>
      <c r="D15" s="9" t="n"/>
      <c r="E15" s="9" t="n"/>
    </row>
    <row r="16">
      <c r="A16" s="8" t="inlineStr">
        <is>
          <t>Tài sản</t>
        </is>
      </c>
      <c r="B16" s="8" t="inlineStr">
        <is>
          <t>Hiện có gì / sẽ có gì</t>
        </is>
      </c>
      <c r="C16" s="8" t="inlineStr">
        <is>
          <t>Đo bằng</t>
        </is>
      </c>
      <c r="D16" s="8" t="inlineStr">
        <is>
          <t>Deadline</t>
        </is>
      </c>
      <c r="E16" s="8" t="inlineStr">
        <is>
          <t>Phụ trách &amp; ghi chú</t>
        </is>
      </c>
    </row>
    <row r="17" ht="160" customHeight="1">
      <c r="A17" s="5" t="inlineStr">
        <is>
          <t>Eval Results</t>
        </is>
      </c>
      <c r="B17" s="5" t="inlineStr">
        <is>
          <t>CHƯA CÓ. Kế hoạch: bộ 100 CV ẩn danh/tổng hợp có nhãn của 2 recruiter. Chỉ số: recall top-10 so với recruiter (mục tiêu ≥85%), tỷ lệ trích dẫn khớp CV (≥95%), tỷ lệ parse thành công (≥92%), tỷ lệ chọn theo nhóm giới/tuổi (quy tắc 4/5 ≥0,8).</t>
        </is>
      </c>
      <c r="C17" s="5" t="inlineStr">
        <is>
          <t>Script eval + 2 người gán nhãn</t>
        </is>
      </c>
      <c r="D17" s="5" t="inlineStr">
        <is>
          <t>25/10/2026</t>
        </is>
      </c>
      <c r="E17" s="5" t="inlineStr">
        <is>
          <t>Sơn. Hiện CHƯA có số nào; containment 80% là giả định.</t>
        </is>
      </c>
    </row>
    <row r="18" ht="160" customHeight="1">
      <c r="A18" s="5" t="inlineStr">
        <is>
          <t>Procurement Q&amp;A</t>
        </is>
      </c>
      <c r="B18" s="5" t="inlineStr">
        <is>
          <t>CHƯA CÓ văn bản. Trả lời bằng văn bản: (1) AI có bịa không, sai thì trách nhiệm ra sao (trích dẫn bắt buộc + người chốt)? (2) Dữ liệu CV có bị dùng để huấn luyện mô hình không (phải xác nhận cấu hình API/gói)? (3) Startup dừng hoạt động thì dữ liệu ứng viên ở đâu (xuất + xóa trong 30 ngày)? Thêm: căn cứ &amp; thời hạn lưu dữ liệu cá nhân ứng viên.</t>
        </is>
      </c>
      <c r="C18" s="5" t="inlineStr">
        <is>
          <t>Tài liệu 2 trang + chính sách dữ liệu</t>
        </is>
      </c>
      <c r="D18" s="5" t="inlineStr">
        <is>
          <t>20/10/2026</t>
        </is>
      </c>
      <c r="E18" s="5" t="inlineStr">
        <is>
          <t>Sơn; cần chuyên gia pháp lý xác nhận phần dữ liệu cá nhân. Không khẳng định điều khoản của nhà cung cấp LLM khi chưa kiểm cấu hình.</t>
        </is>
      </c>
    </row>
    <row r="19" ht="160" customHeight="1">
      <c r="A19" s="5" t="inlineStr">
        <is>
          <t>Pilot Report</t>
        </is>
      </c>
      <c r="B19" s="5" t="inlineStr">
        <is>
          <t>CHƯA CÓ pilot. Mẫu: '__ tuần, __ requisition, __ CV, tỷ lệ shortlist được chốt __%, thời gian tiết kiệm __ giờ'.</t>
        </is>
      </c>
      <c r="C19" s="5" t="inlineStr">
        <is>
          <t>Log hệ thống + khảo sát HR</t>
        </is>
      </c>
      <c r="D19" s="5" t="inlineStr">
        <is>
          <t>10/12/2026</t>
        </is>
      </c>
      <c r="E19" s="5" t="inlineStr">
        <is>
          <t>Sơn; phải liên hệ khách pilot trước 05/11/2026 (hiện chưa liên hệ ai).</t>
        </is>
      </c>
    </row>
    <row r="21">
      <c r="A21" s="8" t="inlineStr">
        <is>
          <t>ĐIỂM CHƯA ĐẠT / THỪA NHẬN</t>
        </is>
      </c>
      <c r="B21" s="9" t="n"/>
      <c r="C21" s="9" t="n"/>
      <c r="D21" s="9" t="n"/>
      <c r="E21" s="9" t="n"/>
    </row>
    <row r="22" ht="32" customHeight="1">
      <c r="A22" s="42" t="inlineStr">
        <is>
          <t>Chưa có dữ liệu thật</t>
        </is>
      </c>
      <c r="B22" s="4" t="inlineStr">
        <is>
          <t>Không có eval, pilot hay khách hàng; mọi containment/volume/giá là giả định.</t>
        </is>
      </c>
    </row>
    <row r="23" ht="32" customHeight="1">
      <c r="A23" s="42" t="inlineStr">
        <is>
          <t>Margin đầy tải thấp</t>
        </is>
      </c>
      <c r="B23" s="4" t="inlineStr">
        <is>
          <t>Ở 8 khách margin đầy tải chỉ vài %, Cost/Job đầy đủ xấp xỉ giá bán; cần ≥12–20 khách (2_Pricing) hoặc giảm overhead.</t>
        </is>
      </c>
    </row>
    <row r="24" ht="32" customHeight="1">
      <c r="A24" s="42" t="inlineStr">
        <is>
          <t>Giá chưa kiểm chứng</t>
        </is>
      </c>
      <c r="B24" s="4" t="inlineStr">
        <is>
          <t>Giá nằm trên dải neo giá trị 10–25%; chỉ nằm trong dải neo nhân công 50–70% theo lương giả định.</t>
        </is>
      </c>
    </row>
    <row r="25" ht="32" customHeight="1">
      <c r="A25" s="42" t="inlineStr">
        <is>
          <t>Rủi ro pháp lý</t>
        </is>
      </c>
      <c r="B25" s="4" t="inlineStr">
        <is>
          <t>Tuyển dụng bằng AI là lĩnh vực nhạy cảm (Lab 21); cần rà soát pháp lý dữ liệu cá nhân &amp; quy định AI trước khi bán.</t>
        </is>
      </c>
    </row>
    <row r="26" ht="32" customHeight="1">
      <c r="A26" s="42" t="inlineStr">
        <is>
          <t>Template</t>
        </is>
      </c>
      <c r="B26" s="4" t="inlineStr">
        <is>
          <t>Không có file xlsx/docx gốc của lab; file này dựng lại theo hướng dẫn.</t>
        </is>
      </c>
    </row>
  </sheetData>
  <mergeCells count="8">
    <mergeCell ref="B23:E23"/>
    <mergeCell ref="B26:E26"/>
    <mergeCell ref="B5:D5"/>
    <mergeCell ref="B25:E25"/>
    <mergeCell ref="B24:E24"/>
    <mergeCell ref="B7:D7"/>
    <mergeCell ref="B6:D6"/>
    <mergeCell ref="B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3" customWidth="1" min="4" max="4"/>
    <col width="70" customWidth="1" min="5" max="5"/>
  </cols>
  <sheetData>
    <row r="1">
      <c r="A1" s="1" t="inlineStr">
        <is>
          <t>6 • BENCHMARK &amp; NGUỒN (chỉ đọc)</t>
        </is>
      </c>
      <c r="B1" s="2" t="n"/>
      <c r="C1" s="2" t="n"/>
      <c r="D1" s="2" t="n"/>
      <c r="E1" s="2" t="n"/>
    </row>
    <row r="2">
      <c r="A2" s="3" t="inlineStr">
        <is>
          <t>Cột D = ngày kiểm tra trực tiếp trên trang gốc. ⏳ = giá có thể đổi, kiểm lại trước khi dùng.</t>
        </is>
      </c>
    </row>
    <row r="4">
      <c r="A4" s="8" t="inlineStr">
        <is>
          <t>Hạng mục</t>
        </is>
      </c>
      <c r="B4" s="8" t="inlineStr">
        <is>
          <t>Giá trị</t>
        </is>
      </c>
      <c r="C4" s="8" t="inlineStr">
        <is>
          <t>Đơn vị</t>
        </is>
      </c>
      <c r="D4" s="8" t="inlineStr">
        <is>
          <t>Ngày kiểm</t>
        </is>
      </c>
      <c r="E4" s="8" t="inlineStr">
        <is>
          <t>Nguồn / ghi chú</t>
        </is>
      </c>
    </row>
    <row r="5">
      <c r="A5" s="4" t="inlineStr">
        <is>
          <t>⏳ Gemini 2.5 Flash — input</t>
        </is>
      </c>
      <c r="B5" s="43" t="n">
        <v>0.3</v>
      </c>
      <c r="C5" s="4" t="inlineStr">
        <is>
          <t>USD/1M</t>
        </is>
      </c>
      <c r="D5" s="4" t="inlineStr">
        <is>
          <t>08/10/2026</t>
        </is>
      </c>
      <c r="E5" s="4" t="inlineStr">
        <is>
          <t>https://ai.google.dev/gemini-api/docs/pricing (Standard paid)</t>
        </is>
      </c>
    </row>
    <row r="6">
      <c r="A6" s="4" t="inlineStr">
        <is>
          <t>⏳ Gemini 2.5 Flash — output (gồm thinking)</t>
        </is>
      </c>
      <c r="B6" s="43" t="n">
        <v>2.5</v>
      </c>
      <c r="C6" s="4" t="inlineStr">
        <is>
          <t>USD/1M</t>
        </is>
      </c>
      <c r="D6" s="4" t="inlineStr">
        <is>
          <t>08/10/2026</t>
        </is>
      </c>
      <c r="E6" s="4" t="inlineStr">
        <is>
          <t>https://ai.google.dev/gemini-api/docs/pricing</t>
        </is>
      </c>
    </row>
    <row r="7">
      <c r="A7" s="4" t="inlineStr">
        <is>
          <t>⏳ Gemini 2.5 Flash — cached input</t>
        </is>
      </c>
      <c r="B7" s="43" t="n">
        <v>0.03</v>
      </c>
      <c r="C7" s="4" t="inlineStr">
        <is>
          <t>USD/1M</t>
        </is>
      </c>
      <c r="D7" s="4" t="inlineStr">
        <is>
          <t>08/10/2026</t>
        </is>
      </c>
      <c r="E7" s="4" t="inlineStr">
        <is>
          <t>https://ai.google.dev/gemini-api/docs/pricing</t>
        </is>
      </c>
    </row>
    <row r="8">
      <c r="A8" s="4" t="inlineStr">
        <is>
          <t>⏳ Gemini — phí lưu cache</t>
        </is>
      </c>
      <c r="B8" s="43" t="n">
        <v>1</v>
      </c>
      <c r="C8" s="4" t="inlineStr">
        <is>
          <t>USD/1M token-giờ</t>
        </is>
      </c>
      <c r="D8" s="4" t="inlineStr">
        <is>
          <t>08/10/2026</t>
        </is>
      </c>
      <c r="E8" s="4" t="inlineStr">
        <is>
          <t>https://ai.google.dev/gemini-api/docs/pricing</t>
        </is>
      </c>
    </row>
    <row r="9">
      <c r="A9" s="4" t="inlineStr">
        <is>
          <t>⏳ Gemini 2.5 Flash — Batch input / output</t>
        </is>
      </c>
      <c r="B9" s="43" t="inlineStr">
        <is>
          <t>0,15 / 1,25</t>
        </is>
      </c>
      <c r="C9" s="4" t="inlineStr">
        <is>
          <t>USD/1M</t>
        </is>
      </c>
      <c r="D9" s="4" t="inlineStr">
        <is>
          <t>08/10/2026</t>
        </is>
      </c>
      <c r="E9" s="4" t="inlineStr">
        <is>
          <t>https://ai.google.dev/gemini-api/docs/pricing</t>
        </is>
      </c>
    </row>
    <row r="10">
      <c r="A10" s="4" t="inlineStr">
        <is>
          <t>⏳ Gemini 2.5 Flash-Lite — input / output</t>
        </is>
      </c>
      <c r="B10" s="43" t="inlineStr">
        <is>
          <t>0,10 / 0,40</t>
        </is>
      </c>
      <c r="C10" s="4" t="inlineStr">
        <is>
          <t>USD/1M</t>
        </is>
      </c>
      <c r="D10" s="4" t="inlineStr">
        <is>
          <t>08/10/2026</t>
        </is>
      </c>
      <c r="E10" s="4" t="inlineStr">
        <is>
          <t>https://ai.google.dev/gemini-api/docs/pricing</t>
        </is>
      </c>
    </row>
    <row r="11">
      <c r="A11" s="4" t="inlineStr">
        <is>
          <t>⏳ Gemini Embedding 2 — text</t>
        </is>
      </c>
      <c r="B11" s="43" t="n">
        <v>0.2</v>
      </c>
      <c r="C11" s="4" t="inlineStr">
        <is>
          <t>USD/1M</t>
        </is>
      </c>
      <c r="D11" s="4" t="inlineStr">
        <is>
          <t>08/10/2026</t>
        </is>
      </c>
      <c r="E11" s="4" t="inlineStr">
        <is>
          <t>https://ai.google.dev/gemini-api/docs/pricing</t>
        </is>
      </c>
    </row>
    <row r="12">
      <c r="A12" s="4" t="inlineStr">
        <is>
          <t>Workable — Standard</t>
        </is>
      </c>
      <c r="B12" s="43" t="n">
        <v>299</v>
      </c>
      <c r="C12" s="4" t="inlineStr">
        <is>
          <t>USD/tháng/công ty</t>
        </is>
      </c>
      <c r="D12" s="4" t="inlineStr">
        <is>
          <t>08/10/2026</t>
        </is>
      </c>
      <c r="E12" s="4" t="inlineStr">
        <is>
          <t>https://www.workable.com/pricing</t>
        </is>
      </c>
    </row>
    <row r="13">
      <c r="A13" s="4" t="inlineStr">
        <is>
          <t>Workable — AI credit (5.000 credit = 600 USD)</t>
        </is>
      </c>
      <c r="B13" s="43" t="n">
        <v>0.12</v>
      </c>
      <c r="C13" s="4" t="inlineStr">
        <is>
          <t>USD/credit</t>
        </is>
      </c>
      <c r="D13" s="4" t="inlineStr">
        <is>
          <t>08/10/2026</t>
        </is>
      </c>
      <c r="E13" s="4" t="inlineStr">
        <is>
          <t>https://www.workable.com/pricing — 1 credit/lần sàng lọc ứng viên</t>
        </is>
      </c>
    </row>
    <row r="14">
      <c r="A14" s="4" t="inlineStr">
        <is>
          <t>Manatal — Professional / Enterprise / Ent. Plus</t>
        </is>
      </c>
      <c r="B14" s="43" t="inlineStr">
        <is>
          <t>15 / 35 / 55</t>
        </is>
      </c>
      <c r="C14" s="4" t="inlineStr">
        <is>
          <t>USD/user/tháng</t>
        </is>
      </c>
      <c r="D14" s="4" t="inlineStr">
        <is>
          <t>08/10/2026</t>
        </is>
      </c>
      <c r="E14" s="4" t="inlineStr">
        <is>
          <t>https://www.manatal.com/pricing (trả theo năm)</t>
        </is>
      </c>
    </row>
    <row r="15">
      <c r="A15" s="4" t="inlineStr">
        <is>
          <t>Intercom Fin</t>
        </is>
      </c>
      <c r="B15" s="43" t="n">
        <v>0.99</v>
      </c>
      <c r="C15" s="4" t="inlineStr">
        <is>
          <t>USD/outcome</t>
        </is>
      </c>
      <c r="D15" s="4" t="inlineStr">
        <is>
          <t>08/10/2026</t>
        </is>
      </c>
      <c r="E15" s="4" t="inlineStr">
        <is>
          <t>https://fin.ai/pricing/ — tối thiểu 50 outcome/tháng</t>
        </is>
      </c>
    </row>
    <row r="16">
      <c r="A16" s="4" t="inlineStr">
        <is>
          <t>ICONIQ 2026 cost per opportunity (SMB·Mid·Ent)</t>
        </is>
      </c>
      <c r="B16" s="43" t="inlineStr">
        <is>
          <t>6.300 · 8.000 · 11.200</t>
        </is>
      </c>
      <c r="C16" s="4" t="inlineStr">
        <is>
          <t>USD</t>
        </is>
      </c>
      <c r="D16" s="4" t="inlineStr">
        <is>
          <t>—</t>
        </is>
      </c>
      <c r="E16" s="4" t="inlineStr">
        <is>
          <t>Lấy từ HUONG_DAN_LAB.md; CHƯA tra lại nguồn gốc</t>
        </is>
      </c>
    </row>
    <row r="17">
      <c r="A17" s="4" t="inlineStr">
        <is>
          <t>Tỷ giá</t>
        </is>
      </c>
      <c r="B17" s="43" t="n">
        <v>26000</v>
      </c>
      <c r="C17" s="4" t="inlineStr">
        <is>
          <t>VND/USD</t>
        </is>
      </c>
      <c r="D17" s="4" t="inlineStr">
        <is>
          <t>—</t>
        </is>
      </c>
      <c r="E17" s="4" t="inlineStr">
        <is>
          <t>Giả định làm tròn</t>
        </is>
      </c>
    </row>
    <row r="18">
      <c r="A18" s="4" t="inlineStr">
        <is>
          <t>Bối cảnh pháp lý tuyển dụng-AI</t>
        </is>
      </c>
      <c r="B18" s="43" t="inlineStr">
        <is>
          <t>Xem Lab 21</t>
        </is>
      </c>
      <c r="C18" s="4" t="inlineStr"/>
      <c r="D18" s="4" t="inlineStr">
        <is>
          <t>—</t>
        </is>
      </c>
      <c r="E18" s="4" t="inlineStr">
        <is>
          <t>Báo cáo Lab 21 của người làm bài (Luật AI 134/2025/QH15; Luật BVDLCN 91/2025/QH15) — chưa kiểm tra lại, cần chuyên gia pháp lý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2026-10-08T16:44:33Z</dcterms:created>
  <dcterms:modified xmlns:dcterms="http://purl.org/dc/terms/" xmlns:xsi="http://www.w3.org/2001/XMLSchema-instance" xsi:type="dcterms:W3CDTF">2026-10-08T16:44:33Z</dcterms:modified>
</cp:coreProperties>
</file>